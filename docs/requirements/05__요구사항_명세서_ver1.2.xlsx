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Traceability" sheetId="3" state="visible" r:id="rId3"/>
    <sheet xmlns:r="http://schemas.openxmlformats.org/officeDocument/2006/relationships" name="Open_Decision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1" hidden="1">'Requirements'!$A$5:$N$64</definedName>
    <definedName name="_xlnm._FilterDatabase" localSheetId="2" hidden="1">'Traceability'!$A$5:$J$64</definedName>
    <definedName name="_xlnm._FilterDatabase" localSheetId="3" hidden="1">'Open_Decisions'!$A$4:$F$15</definedName>
    <definedName name="_xlnm._FilterDatabase" localSheetId="4" hidden="1">'Sources'!$A$3:$D$11</definedName>
  </definedNames>
</workbook>
</file>

<file path=xl/styles.xml><?xml version="1.0" encoding="utf-8"?>
<styleSheet xmlns="http://schemas.openxmlformats.org/spreadsheetml/2006/main">
  <numFmts count="0"/>
  <fonts count="18">
    <font>
      <name val="Carlito"/>
      <sz val="11"/>
    </font>
    <font>
      <name val="Arial"/>
      <b val="1"/>
      <color rgb="FF17365D"/>
      <sz val="16"/>
    </font>
    <font>
      <name val="Arial"/>
      <i val="1"/>
      <color rgb="FF5B6573"/>
      <sz val="10"/>
    </font>
    <font>
      <name val="Arial"/>
      <b val="1"/>
      <color rgb="FF17365D"/>
      <sz val="10"/>
    </font>
    <font>
      <name val="Arial"/>
      <color rgb="FF1F2937"/>
      <sz val="10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17365D"/>
      <sz val="15"/>
    </font>
    <font>
      <name val="Arial"/>
      <i val="1"/>
      <color rgb="FF5B6573"/>
      <sz val="9"/>
    </font>
    <font>
      <name val="Arial"/>
      <b val="1"/>
      <color rgb="FF7F6000"/>
      <sz val="10"/>
    </font>
    <font>
      <name val="Arial"/>
      <color rgb="FF17365D"/>
      <sz val="9"/>
    </font>
    <font>
      <name val="Arial"/>
      <b val="1"/>
      <color rgb="FF7F6000"/>
      <sz val="11"/>
    </font>
    <font>
      <name val="Arial"/>
      <sz val="11"/>
    </font>
    <font>
      <name val="Carlito"/>
      <sz val="11"/>
    </font>
    <font>
      <name val="돋움"/>
      <sz val="8"/>
    </font>
    <font>
      <name val="돋움"/>
      <color rgb="FF1F2937"/>
      <sz val="10"/>
    </font>
    <font>
      <b val="1"/>
      <color rgb="00006100"/>
    </font>
    <font>
      <b val="1"/>
      <color rgb="009C5700"/>
    </font>
  </fonts>
  <fills count="9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F7F9FC"/>
      </patternFill>
    </fill>
    <fill>
      <patternFill patternType="solid">
        <fgColor rgb="FFFFF2C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19">
    <border/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7C9D6"/>
      </left>
      <top style="thin">
        <color rgb="FFB7C9D6"/>
      </top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left style="thin">
        <color rgb="FFB7C9D6"/>
      </left>
    </border>
    <border>
      <right style="thin">
        <color rgb="FFB7C9D6"/>
      </right>
    </border>
    <border>
      <left style="thin">
        <color rgb="FFB7C9D6"/>
      </left>
      <bottom style="thin">
        <color rgb="FFB7C9D6"/>
      </bottom>
    </border>
    <border>
      <bottom style="thin">
        <color rgb="FFB7C9D6"/>
      </bottom>
    </border>
    <border>
      <right style="thin">
        <color rgb="FFB7C9D6"/>
      </right>
      <bottom style="thin">
        <color rgb="FFB7C9D6"/>
      </bottom>
    </border>
    <border>
      <left style="thin">
        <color rgb="FFB7C9D6"/>
      </left>
      <right style="thin">
        <color rgb="FFB7C9D6"/>
      </right>
    </border>
    <border>
      <left style="thin">
        <color rgb="FFB7C9D6"/>
      </left>
      <right style="thin">
        <color rgb="FFB7C9D6"/>
      </right>
      <bottom style="thin">
        <color rgb="FFB7C9D6"/>
      </bottom>
    </border>
    <border>
      <left style="thin">
        <color rgb="FFB7C9D6"/>
      </left>
      <right style="thin">
        <color rgb="FFB7C9D6"/>
      </right>
      <top style="thin">
        <color rgb="FFB7C9D6"/>
      </top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13" fillId="0" borderId="0"/>
    <xf numFmtId="0" fontId="13" fillId="0" borderId="0"/>
  </cellStyleXfs>
  <cellXfs count="55">
    <xf numFmtId="0" fontId="0" fillId="0" borderId="0" pivotButton="0" quotePrefix="0" xfId="0"/>
    <xf numFmtId="0" fontId="3" fillId="2" borderId="1" applyAlignment="1" pivotButton="0" quotePrefix="0" xfId="1">
      <alignment vertical="center" wrapText="1"/>
    </xf>
    <xf numFmtId="0" fontId="4" fillId="0" borderId="1" applyAlignment="1" pivotButton="0" quotePrefix="0" xfId="1">
      <alignment vertical="center" wrapText="1"/>
    </xf>
    <xf numFmtId="0" fontId="5" fillId="3" borderId="2" applyAlignment="1" pivotButton="0" quotePrefix="0" xfId="1">
      <alignment horizontal="center" vertical="center" wrapText="1"/>
    </xf>
    <xf numFmtId="0" fontId="3" fillId="4" borderId="3" pivotButton="0" quotePrefix="0" xfId="1"/>
    <xf numFmtId="0" fontId="4" fillId="0" borderId="3" applyAlignment="1" pivotButton="0" quotePrefix="0" xfId="1">
      <alignment horizontal="center"/>
    </xf>
    <xf numFmtId="0" fontId="4" fillId="0" borderId="3" applyAlignment="1" pivotButton="0" quotePrefix="0" xfId="1">
      <alignment wrapText="1"/>
    </xf>
    <xf numFmtId="0" fontId="5" fillId="3" borderId="3" applyAlignment="1" pivotButton="0" quotePrefix="0" xfId="1">
      <alignment horizontal="center" vertical="center" wrapText="1"/>
    </xf>
    <xf numFmtId="0" fontId="3" fillId="0" borderId="3" applyAlignment="1" pivotButton="0" quotePrefix="0" xfId="1">
      <alignment vertical="center" wrapText="1"/>
    </xf>
    <xf numFmtId="0" fontId="10" fillId="4" borderId="3" applyAlignment="1" pivotButton="0" quotePrefix="0" xfId="1">
      <alignment vertical="center" wrapText="1"/>
    </xf>
    <xf numFmtId="0" fontId="4" fillId="0" borderId="3" applyAlignment="1" pivotButton="0" quotePrefix="0" xfId="1">
      <alignment vertical="center" wrapText="1"/>
    </xf>
    <xf numFmtId="0" fontId="4" fillId="0" borderId="3" applyAlignment="1" pivotButton="0" quotePrefix="0" xfId="1">
      <alignment horizontal="center" vertical="center" wrapText="1"/>
    </xf>
    <xf numFmtId="0" fontId="3" fillId="4" borderId="3" applyAlignment="1" pivotButton="0" quotePrefix="0" xfId="1">
      <alignment vertical="center" wrapText="1"/>
    </xf>
    <xf numFmtId="0" fontId="12" fillId="0" borderId="0" pivotButton="0" quotePrefix="0" xfId="1"/>
    <xf numFmtId="0" fontId="1" fillId="0" borderId="0" applyAlignment="1" pivotButton="0" quotePrefix="0" xfId="1">
      <alignment vertical="center"/>
    </xf>
    <xf numFmtId="0" fontId="2" fillId="0" borderId="0" applyAlignment="1" pivotButton="0" quotePrefix="0" xfId="1">
      <alignment wrapText="1"/>
    </xf>
    <xf numFmtId="0" fontId="6" fillId="3" borderId="0" applyAlignment="1" pivotButton="0" quotePrefix="0" xfId="1">
      <alignment horizontal="left"/>
    </xf>
    <xf numFmtId="0" fontId="4" fillId="5" borderId="4" applyAlignment="1" pivotButton="0" quotePrefix="0" xfId="1">
      <alignment vertical="center" wrapText="1"/>
    </xf>
    <xf numFmtId="0" fontId="4" fillId="5" borderId="5" applyAlignment="1" pivotButton="0" quotePrefix="0" xfId="1">
      <alignment vertical="center" wrapText="1"/>
    </xf>
    <xf numFmtId="0" fontId="4" fillId="5" borderId="6" applyAlignment="1" pivotButton="0" quotePrefix="0" xfId="1">
      <alignment vertical="center" wrapText="1"/>
    </xf>
    <xf numFmtId="0" fontId="4" fillId="5" borderId="7" applyAlignment="1" pivotButton="0" quotePrefix="0" xfId="1">
      <alignment vertical="center" wrapText="1"/>
    </xf>
    <xf numFmtId="0" fontId="4" fillId="5" borderId="0" applyAlignment="1" pivotButton="0" quotePrefix="0" xfId="1">
      <alignment vertical="center" wrapText="1"/>
    </xf>
    <xf numFmtId="0" fontId="4" fillId="5" borderId="8" applyAlignment="1" pivotButton="0" quotePrefix="0" xfId="1">
      <alignment vertical="center" wrapText="1"/>
    </xf>
    <xf numFmtId="0" fontId="4" fillId="5" borderId="9" applyAlignment="1" pivotButton="0" quotePrefix="0" xfId="1">
      <alignment vertical="center" wrapText="1"/>
    </xf>
    <xf numFmtId="0" fontId="4" fillId="5" borderId="10" applyAlignment="1" pivotButton="0" quotePrefix="0" xfId="1">
      <alignment vertical="center" wrapText="1"/>
    </xf>
    <xf numFmtId="0" fontId="4" fillId="5" borderId="11" applyAlignment="1" pivotButton="0" quotePrefix="0" xfId="1">
      <alignment vertical="center" wrapText="1"/>
    </xf>
    <xf numFmtId="0" fontId="7" fillId="0" borderId="0" applyAlignment="1" pivotButton="0" quotePrefix="0" xfId="1">
      <alignment vertical="center"/>
    </xf>
    <xf numFmtId="0" fontId="8" fillId="0" borderId="0" applyAlignment="1" pivotButton="0" quotePrefix="0" xfId="1">
      <alignment wrapText="1"/>
    </xf>
    <xf numFmtId="0" fontId="9" fillId="6" borderId="0" pivotButton="0" quotePrefix="0" xfId="1"/>
    <xf numFmtId="0" fontId="7" fillId="0" borderId="0" pivotButton="0" quotePrefix="0" xfId="1"/>
    <xf numFmtId="0" fontId="11" fillId="6" borderId="0" pivotButton="0" quotePrefix="0" xfId="1"/>
    <xf numFmtId="0" fontId="6" fillId="3" borderId="0" applyAlignment="1" pivotButton="0" quotePrefix="0" xfId="0">
      <alignment horizontal="left"/>
    </xf>
    <xf numFmtId="0" fontId="4" fillId="5" borderId="4" applyAlignment="1" pivotButton="0" quotePrefix="0" xfId="0">
      <alignment vertical="center"/>
    </xf>
    <xf numFmtId="0" fontId="4" fillId="5" borderId="7" applyAlignment="1" pivotButton="0" quotePrefix="0" xfId="0">
      <alignment vertical="center"/>
    </xf>
    <xf numFmtId="0" fontId="4" fillId="5" borderId="9" applyAlignment="1" pivotButton="0" quotePrefix="0" xfId="0">
      <alignment vertical="center"/>
    </xf>
    <xf numFmtId="0" fontId="12" fillId="0" borderId="0" pivotButton="0" quotePrefix="0" xfId="0"/>
    <xf numFmtId="0" fontId="4" fillId="5" borderId="14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4" fillId="5" borderId="12" applyAlignment="1" pivotButton="0" quotePrefix="0" xfId="0">
      <alignment vertical="center"/>
    </xf>
    <xf numFmtId="0" fontId="0" fillId="0" borderId="8" pivotButton="0" quotePrefix="0" xfId="0"/>
    <xf numFmtId="0" fontId="4" fillId="5" borderId="13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3" applyAlignment="1" pivotButton="0" quotePrefix="0" xfId="1">
      <alignment horizontal="left" vertical="top" wrapText="1"/>
    </xf>
    <xf numFmtId="0" fontId="10" fillId="4" borderId="3" applyAlignment="1" pivotButton="0" quotePrefix="0" xfId="1">
      <alignment horizontal="left" vertical="top" wrapText="1"/>
    </xf>
    <xf numFmtId="0" fontId="4" fillId="0" borderId="3" applyAlignment="1" pivotButton="0" quotePrefix="0" xfId="1">
      <alignment horizontal="left" vertical="top" wrapText="1"/>
    </xf>
    <xf numFmtId="0" fontId="4" fillId="0" borderId="3" applyAlignment="1" pivotButton="0" quotePrefix="0" xfId="1">
      <alignment horizontal="center" vertical="top" wrapText="1"/>
    </xf>
    <xf numFmtId="0" fontId="4" fillId="5" borderId="14" applyAlignment="1" pivotButton="0" quotePrefix="0" xfId="1">
      <alignment vertical="center" wrapText="1"/>
    </xf>
    <xf numFmtId="0" fontId="4" fillId="5" borderId="12" applyAlignment="1" pivotButton="0" quotePrefix="0" xfId="1">
      <alignment vertical="center" wrapText="1"/>
    </xf>
    <xf numFmtId="0" fontId="5" fillId="3" borderId="3" applyAlignment="1" pivotButton="0" quotePrefix="0" xfId="1">
      <alignment horizontal="left" vertical="center"/>
    </xf>
    <xf numFmtId="0" fontId="16" fillId="7" borderId="3" applyAlignment="1" pivotButton="0" quotePrefix="0" xfId="1">
      <alignment horizontal="center" vertical="center"/>
    </xf>
    <xf numFmtId="0" fontId="17" fillId="8" borderId="3" applyAlignment="1" pivotButton="0" quotePrefix="0" xfId="1">
      <alignment horizontal="center" vertical="center"/>
    </xf>
    <xf numFmtId="0" fontId="0" fillId="0" borderId="17" pivotButton="0" quotePrefix="0" xfId="0"/>
    <xf numFmtId="0" fontId="0" fillId="0" borderId="18" pivotButton="0" quotePrefix="0" xfId="0"/>
  </cellXfs>
  <cellStyles count="2">
    <cellStyle name="표준" xfId="0"/>
    <cellStyle name="Normal" xfId="1"/>
  </cellStyles>
  <dxfs count="7"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  <dxf>
      <fill>
        <patternFill patternType="solid">
          <fgColor rgb="00F4B183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quirementsTable" displayName="RequirementsTable" ref="A5:N64" headerRowCount="1" totalsRowShown="0">
  <autoFilter ref="A5:N63"/>
  <tableColumns count="14">
    <tableColumn id="1" name="Requirement ID"/>
    <tableColumn id="2" name="Category"/>
    <tableColumn id="3" name="System Requirement"/>
    <tableColumn id="4" name="Verification / Evidence"/>
    <tableColumn id="5" name="Basis"/>
    <tableColumn id="6" name="Source Section"/>
    <tableColumn id="7" name="Related Function(s)"/>
    <tableColumn id="8" name="Logical Component(s)"/>
    <tableColumn id="9" name="Physical Element(s)"/>
    <tableColumn id="10" name="FE / Interface"/>
    <tableColumn id="11" name="Scenario(s)"/>
    <tableColumn id="12" name="Review Flag"/>
    <tableColumn id="13" name="Status"/>
    <tableColumn id="1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ceabilityTable" displayName="TraceabilityTable" ref="A5:J64" headerRowCount="1" totalsRowShown="0">
  <autoFilter ref="A5:J63"/>
  <tableColumns count="10">
    <tableColumn id="1" name="Requirement ID"/>
    <tableColumn id="2" name="Requirement"/>
    <tableColumn id="3" name="SF / System Function"/>
    <tableColumn id="4" name="SE / Logical Component"/>
    <tableColumn id="5" name="PD / Physical Element"/>
    <tableColumn id="6" name="FE / Interface"/>
    <tableColumn id="7" name="Scenario"/>
    <tableColumn id="8" name="Verification Evidence"/>
    <tableColumn id="9" name="Traceability Status"/>
    <tableColumn id="10" name="Review Not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4"/>
  <cols>
    <col width="22" customWidth="1" min="1" max="1"/>
    <col width="58" customWidth="1" min="2" max="2"/>
    <col width="42" customWidth="1" min="3" max="3"/>
    <col width="4" customWidth="1" min="4" max="4"/>
    <col width="52" customWidth="1" min="5" max="5"/>
    <col width="24" customWidth="1" min="6" max="8"/>
  </cols>
  <sheetData>
    <row r="1" ht="20" customHeight="1">
      <c r="A1" s="14" t="inlineStr">
        <is>
          <t>CAN-LIN Gateway Project | Requirements Specification V0.5 — Matrix Reference-Only + Window Local Timeout Trace</t>
        </is>
      </c>
    </row>
    <row r="2">
      <c r="A2" s="15" t="inlineStr">
        <is>
          <t>Handbook v1.0 + SYS-ARCH-SPEC-001 v1.0 + D-07 v0.9 + Message Definition v0.4 기준 | CAN/LIN Matrix는 참고용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</row>
    <row r="4">
      <c r="A4" s="1" t="inlineStr">
        <is>
          <t>Workbook purpose</t>
        </is>
      </c>
      <c r="B4" s="2" t="inlineStr">
        <is>
          <t>요구사항 ID, 근거, 검증 방법, Capella 추적 키와 Freeze Decision을 한 곳에서 관리</t>
        </is>
      </c>
      <c r="C4" s="13" t="n"/>
      <c r="D4" s="13" t="n"/>
      <c r="E4" s="31" t="inlineStr">
        <is>
          <t>작성 및 검토 방법 (V0.4)</t>
        </is>
      </c>
    </row>
    <row r="5">
      <c r="A5" s="1" t="inlineStr">
        <is>
          <t>Source baseline</t>
        </is>
      </c>
      <c r="B5" s="2" t="inlineStr">
        <is>
          <t>CAN-LIN Gateway Handbook v1.0 / SYS-ARCH-SPEC-001 v1.0 / D-07 v0.9 / Capella 모델</t>
        </is>
      </c>
      <c r="C5" s="13" t="n"/>
      <c r="D5" s="13" t="n"/>
      <c r="E5" s="36" t="inlineStr">
        <is>
          <t>1. 기존 V0.4 Freeze 결정을 유지하고, SYS_REQ_059를 append-only로 추가하여 Window_Command Local Timeout의 Requirement Trace를 완성합니다.</t>
        </is>
      </c>
      <c r="F5" s="37" t="n"/>
      <c r="G5" s="37" t="n"/>
      <c r="H5" s="38" t="n"/>
    </row>
    <row r="6">
      <c r="A6" s="1" t="inlineStr">
        <is>
          <t>Requirements</t>
        </is>
      </c>
      <c r="B6" s="2" t="n">
        <v>59</v>
      </c>
      <c r="C6" s="13" t="n"/>
      <c r="D6" s="13" t="n"/>
      <c r="E6" s="39" t="inlineStr">
        <is>
          <t>2. SYS_REQ ID는 변경하지 않으며 신규 ID는 append-only로 추가합니다.</t>
        </is>
      </c>
      <c r="H6" s="40" t="n"/>
    </row>
    <row r="7">
      <c r="A7" s="1" t="inlineStr">
        <is>
          <t>Draft / Baseline</t>
        </is>
      </c>
      <c r="B7" s="2">
        <f>COUNTIF(Requirements!M6:M64,"Draft")</f>
        <v/>
      </c>
      <c r="C7" s="13" t="n"/>
      <c r="D7" s="13" t="n"/>
      <c r="E7" s="39" t="inlineStr">
        <is>
          <t>3. SF/SE/PD/Exchange/SCN은 Capella 및 시험 산출물의 추적 키입니다.</t>
        </is>
      </c>
      <c r="H7" s="40" t="n"/>
    </row>
    <row r="8">
      <c r="A8" s="1" t="inlineStr">
        <is>
          <t>Frozen</t>
        </is>
      </c>
      <c r="B8" s="2">
        <f>COUNTIF(Requirements!M6:M64,"Frozen")</f>
        <v/>
      </c>
      <c r="C8" s="13" t="n"/>
      <c r="D8" s="13" t="n"/>
      <c r="E8" s="39" t="inlineStr">
        <is>
          <t>4. Frozen은 Requirements-level 설계 결정 완료를 의미합니다. CAN/LIN Interface 변경은 별도 상대 담당자 리뷰 필요입니다.</t>
        </is>
      </c>
      <c r="H8" s="40" t="n"/>
    </row>
    <row r="9">
      <c r="A9" s="1" t="inlineStr">
        <is>
          <t>Needs review</t>
        </is>
      </c>
      <c r="B9" s="2">
        <f>COUNTIF(Requirements!M6:M64,"Needs review")</f>
        <v/>
      </c>
      <c r="C9" s="13" t="n"/>
      <c r="D9" s="13" t="n"/>
      <c r="E9" s="39" t="inlineStr">
        <is>
          <t>5. CAN/LIN Matrix는 참고용이며 Requirement / Message Definition Baseline을 덮어쓰지 않습니다.</t>
        </is>
      </c>
      <c r="H9" s="40" t="n"/>
    </row>
    <row r="10">
      <c r="A10" s="13" t="inlineStr">
        <is>
          <t>Traceability rule</t>
        </is>
      </c>
      <c r="B10" s="13" t="inlineStr">
        <is>
          <t>SYS_REQ → SF → SE/PD → Exchange/Interface → SCN/Evidence</t>
        </is>
      </c>
      <c r="C10" s="13" t="n"/>
      <c r="D10" s="13" t="n"/>
      <c r="E10" s="41" t="inlineStr">
        <is>
          <t>6. V0.5 기준값은 메시지 정의서 v0.4 Team Decision과 D-07/Architecture 책임 경계를 반영합니다.</t>
        </is>
      </c>
      <c r="F10" s="42" t="n"/>
      <c r="G10" s="42" t="n"/>
      <c r="H10" s="43" t="n"/>
    </row>
    <row r="11">
      <c r="A11" s="13" t="n"/>
      <c r="B11" s="13" t="n"/>
      <c r="C11" s="13" t="n"/>
      <c r="D11" s="13" t="n"/>
      <c r="E11" s="35" t="inlineStr">
        <is>
          <t>7. CAN/LIN Interface 변경은 Jira → 기준 산출물(요구사항/메시지 정의서) 갱신 → 상대 담당자 리뷰 필요 → DBC/LDF/FW/Test/Evidence 순으로 반영합니다. Matrix는 필요 시 참고용으로 동기화합니다.</t>
        </is>
      </c>
      <c r="F11" s="13" t="n"/>
      <c r="G11" s="13" t="n"/>
      <c r="H11" s="13" t="n"/>
    </row>
    <row r="12">
      <c r="A12" s="3" t="inlineStr">
        <is>
          <t>Category</t>
        </is>
      </c>
      <c r="B12" s="3" t="inlineStr">
        <is>
          <t>Count</t>
        </is>
      </c>
      <c r="C12" s="3" t="inlineStr">
        <is>
          <t>Meaning</t>
        </is>
      </c>
      <c r="D12" s="13" t="n"/>
      <c r="E12" s="13" t="n"/>
      <c r="F12" s="13" t="n"/>
      <c r="G12" s="13" t="n"/>
      <c r="H12" s="13" t="n"/>
    </row>
    <row r="13">
      <c r="A13" s="4" t="inlineStr">
        <is>
          <t>Functional</t>
        </is>
      </c>
      <c r="B13" s="5">
        <f>COUNTIF(Requirements!B6:B64,A13)</f>
        <v/>
      </c>
      <c r="C13" s="6" t="inlineStr">
        <is>
          <t>시스템이 제공해야 하는 기능</t>
        </is>
      </c>
      <c r="D13" s="13" t="n"/>
      <c r="E13" s="13" t="n"/>
      <c r="F13" s="13" t="n"/>
      <c r="G13" s="13" t="n"/>
      <c r="H13" s="13" t="n"/>
    </row>
    <row r="14">
      <c r="A14" s="4" t="inlineStr">
        <is>
          <t>Network Communication</t>
        </is>
      </c>
      <c r="B14" s="5">
        <f>COUNTIF(Requirements!B6:B64,A14)</f>
        <v/>
      </c>
      <c r="C14" s="6" t="inlineStr">
        <is>
          <t>CAN/LIN 속도·토폴로지·스케줄</t>
        </is>
      </c>
      <c r="D14" s="13" t="n"/>
      <c r="E14" s="13" t="n"/>
      <c r="F14" s="13" t="n"/>
      <c r="G14" s="13" t="n"/>
      <c r="H14" s="13" t="n"/>
    </row>
    <row r="15">
      <c r="A15" s="4" t="inlineStr">
        <is>
          <t>Gateway</t>
        </is>
      </c>
      <c r="B15" s="5">
        <f>COUNTIF(Requirements!B6:B64,A15)</f>
        <v/>
      </c>
      <c r="C15" s="6" t="inlineStr">
        <is>
          <t>Gateway routing 및 통신 책임</t>
        </is>
      </c>
      <c r="D15" s="13" t="n"/>
      <c r="E15" s="13" t="n"/>
      <c r="F15" s="13" t="n"/>
      <c r="G15" s="13" t="n"/>
      <c r="H15" s="13" t="n"/>
    </row>
    <row r="16">
      <c r="A16" s="4" t="inlineStr">
        <is>
          <t>Fault / Health</t>
        </is>
      </c>
      <c r="B16" s="5">
        <f>COUNTIF(Requirements!B6:B64,A16)</f>
        <v/>
      </c>
      <c r="C16" s="6" t="inlineStr">
        <is>
          <t>감시·timeout·fault·recovery</t>
        </is>
      </c>
      <c r="D16" s="13" t="n"/>
      <c r="E16" s="13" t="n"/>
      <c r="F16" s="13" t="n"/>
      <c r="G16" s="13" t="n"/>
      <c r="H16" s="13" t="n"/>
    </row>
    <row r="17">
      <c r="A17" s="4" t="inlineStr">
        <is>
          <t>Diagnostic</t>
        </is>
      </c>
      <c r="B17" s="5">
        <f>COUNTIF(Requirements!B6:B64,A17)</f>
        <v/>
      </c>
      <c r="C17" s="6" t="inlineStr">
        <is>
          <t>PC Tool과 진단·로깅·주입</t>
        </is>
      </c>
      <c r="D17" s="13" t="n"/>
      <c r="E17" s="13" t="n"/>
      <c r="F17" s="13" t="n"/>
      <c r="G17" s="13" t="n"/>
      <c r="H17" s="13" t="n"/>
    </row>
    <row r="18">
      <c r="A18" s="4" t="inlineStr">
        <is>
          <t>Verification / Test</t>
        </is>
      </c>
      <c r="B18" s="5">
        <f>COUNTIF(Requirements!B6:B64,A18)</f>
        <v/>
      </c>
      <c r="C18" s="6" t="inlineStr">
        <is>
          <t>반복 가능 시험과 측정 증거</t>
        </is>
      </c>
      <c r="D18" s="13" t="n"/>
      <c r="E18" s="13" t="n"/>
      <c r="F18" s="13" t="n"/>
      <c r="G18" s="13" t="n"/>
      <c r="H18" s="13" t="n"/>
    </row>
    <row r="19">
      <c r="A19" s="4" t="inlineStr">
        <is>
          <t>Scope / Constraint</t>
        </is>
      </c>
      <c r="B19" s="5">
        <f>COUNTIF(Requirements!B6:B64,A19)</f>
        <v/>
      </c>
      <c r="C19" s="6" t="inlineStr">
        <is>
          <t>범위·제외·stretch goal</t>
        </is>
      </c>
      <c r="D19" s="13" t="n"/>
      <c r="E19" s="13" t="n"/>
      <c r="F19" s="13" t="n"/>
      <c r="G19" s="13" t="n"/>
      <c r="H19" s="13" t="n"/>
    </row>
    <row r="20">
      <c r="A20" s="4" t="inlineStr">
        <is>
          <t>Added Baseline</t>
        </is>
      </c>
      <c r="B20" s="5">
        <f>COUNTIF(Requirements!B6:B64,A20)</f>
        <v/>
      </c>
      <c r="C20" s="6" t="inlineStr">
        <is>
          <t>D-07·Window·Physical HW 추가 기준</t>
        </is>
      </c>
      <c r="D20" s="13" t="n"/>
      <c r="E20" s="13" t="n"/>
      <c r="F20" s="13" t="n"/>
      <c r="G20" s="13" t="n"/>
      <c r="H20" s="13" t="n"/>
    </row>
    <row r="22">
      <c r="A22" s="3" t="inlineStr">
        <is>
          <t>Traceability Status</t>
        </is>
      </c>
      <c r="B22" s="3" t="inlineStr">
        <is>
          <t>Count</t>
        </is>
      </c>
      <c r="C22" s="3" t="inlineStr">
        <is>
          <t>Meaning</t>
        </is>
      </c>
    </row>
    <row r="23">
      <c r="A23" s="4" t="inlineStr">
        <is>
          <t>Traceable</t>
        </is>
      </c>
      <c r="B23" s="5">
        <f>COUNTIF(Traceability!I6:I64,"Traceable")</f>
        <v/>
      </c>
      <c r="C23" s="6" t="inlineStr">
        <is>
          <t>필수 추적 키와 검증 증거 유형이 연결됨</t>
        </is>
      </c>
    </row>
    <row r="24">
      <c r="A24" s="4" t="inlineStr">
        <is>
          <t>Open / TBD</t>
        </is>
      </c>
      <c r="B24" s="5">
        <f>COUNTIF(Traceability!I6:I64,"Open / TBD")</f>
        <v/>
      </c>
      <c r="C24" s="6" t="inlineStr">
        <is>
          <t>Requirement-level 미결정 또는 후속 Freeze가 필요한 항목</t>
        </is>
      </c>
    </row>
    <row r="25">
      <c r="A25" s="4" t="inlineStr">
        <is>
          <t>Needs mapping</t>
        </is>
      </c>
      <c r="B25" s="5">
        <f>COUNTIF(Traceability!I6:I64,"Needs mapping")</f>
        <v/>
      </c>
      <c r="C25" s="6" t="inlineStr">
        <is>
          <t>필수 추적 키 또는 Verification 연결 누락</t>
        </is>
      </c>
    </row>
  </sheetData>
  <mergeCells count="9">
    <mergeCell ref="E9:H9"/>
    <mergeCell ref="E8:H8"/>
    <mergeCell ref="A2:H2"/>
    <mergeCell ref="E4:H4"/>
    <mergeCell ref="E6:H6"/>
    <mergeCell ref="E7:H7"/>
    <mergeCell ref="A1:H1"/>
    <mergeCell ref="E10:H10"/>
    <mergeCell ref="E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4"/>
  <cols>
    <col width="16" customWidth="1" min="1" max="1"/>
    <col width="22" customWidth="1" min="2" max="2"/>
    <col width="62" customWidth="1" min="3" max="3"/>
    <col width="28" customWidth="1" min="4" max="4"/>
    <col width="14" customWidth="1" min="5" max="6"/>
    <col width="34" customWidth="1" min="7" max="8"/>
    <col width="40" customWidth="1" min="9" max="9"/>
    <col width="42" customWidth="1" min="10" max="10"/>
    <col width="26" customWidth="1" min="11" max="11"/>
    <col width="34" customWidth="1" min="12" max="12"/>
    <col width="15" customWidth="1" min="13" max="13"/>
    <col width="48" customWidth="1" min="14" max="14"/>
  </cols>
  <sheetData>
    <row r="1" ht="19" customHeight="1">
      <c r="A1" s="26" t="inlineStr">
        <is>
          <t>System Requirements Register V0.5 — Matrix Reference-Only + Window Local Timeout Trace</t>
        </is>
      </c>
    </row>
    <row r="2">
      <c r="A2" s="27" t="inlineStr">
        <is>
          <t>기존 V0.4 Freeze를 유지하고 SYS_REQ_059를 append-only 추가. CAN/LIN Matrix는 reference-only이며 02 메시지 정의서 + 05 요구사항이 Baseline.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</row>
    <row r="4">
      <c r="A4" s="28" t="inlineStr">
        <is>
          <t>Editable working register | Frozen=요구사항 수준 설계 결정 완료; Interface 변경 승인/검증은 별도 Gate에서 추적.</t>
        </is>
      </c>
    </row>
    <row r="5" ht="32" customHeight="1">
      <c r="A5" s="7" t="inlineStr">
        <is>
          <t>Requirement ID</t>
        </is>
      </c>
      <c r="B5" s="7" t="inlineStr">
        <is>
          <t>Category</t>
        </is>
      </c>
      <c r="C5" s="7" t="inlineStr">
        <is>
          <t>System Requirement</t>
        </is>
      </c>
      <c r="D5" s="7" t="inlineStr">
        <is>
          <t>Verification / Evidence</t>
        </is>
      </c>
      <c r="E5" s="7" t="inlineStr">
        <is>
          <t>Basis</t>
        </is>
      </c>
      <c r="F5" s="7" t="inlineStr">
        <is>
          <t>Source Section</t>
        </is>
      </c>
      <c r="G5" s="7" t="inlineStr">
        <is>
          <t>Related Function(s)</t>
        </is>
      </c>
      <c r="H5" s="7" t="inlineStr">
        <is>
          <t>Logical Component(s)</t>
        </is>
      </c>
      <c r="I5" s="7" t="inlineStr">
        <is>
          <t>Physical Element(s)</t>
        </is>
      </c>
      <c r="J5" s="7" t="inlineStr">
        <is>
          <t>Exchange / Interface</t>
        </is>
      </c>
      <c r="K5" s="7" t="inlineStr">
        <is>
          <t>Scenario(s)</t>
        </is>
      </c>
      <c r="L5" s="7" t="inlineStr">
        <is>
          <t>Review Flag</t>
        </is>
      </c>
      <c r="M5" s="7" t="inlineStr">
        <is>
          <t>Status</t>
        </is>
      </c>
      <c r="N5" s="7" t="inlineStr">
        <is>
          <t>Notes</t>
        </is>
      </c>
    </row>
    <row r="6" ht="37.5" customHeight="1">
      <c r="A6" s="44" t="inlineStr">
        <is>
          <t>SYS_REQ_001</t>
        </is>
      </c>
      <c r="B6" s="45" t="inlineStr">
        <is>
          <t>Functional</t>
        </is>
      </c>
      <c r="C6" s="46" t="inlineStr">
        <is>
          <t>시스템은 차량 제어 ECU 간에 차량 제어 및 상태 정보를 CAN Network를 통해 전달할 수 있어야 한다.</t>
        </is>
      </c>
      <c r="D6" s="46" t="inlineStr">
        <is>
          <t>CAN raw/decode 및 E2E capture</t>
        </is>
      </c>
      <c r="E6" s="47" t="inlineStr">
        <is>
          <t>[HB]</t>
        </is>
      </c>
      <c r="F6" s="47" t="inlineStr">
        <is>
          <t>Section 3A</t>
        </is>
      </c>
      <c r="G6" s="46" t="inlineStr">
        <is>
          <t>SF_07 CAN Communication</t>
        </is>
      </c>
      <c r="H6" s="46" t="inlineStr">
        <is>
          <t>SE_01 VCU ECU; SE_02 Motor ECU; SE_03 Gateway ECU; SE_04 Cluster ECU</t>
        </is>
      </c>
      <c r="I6" s="46" t="inlineStr">
        <is>
          <t>N/A — no direct physical element allocation at system-requirement level</t>
        </is>
      </c>
      <c r="J6" s="46" t="inlineStr">
        <is>
          <t>CAN Bus; CE_CAN_VCU_Gateway; CE_CAN_Motor_Gateway; CE_CAN_Gateway_Cluster</t>
        </is>
      </c>
      <c r="K6" s="46" t="inlineStr">
        <is>
          <t>SCN-01</t>
        </is>
      </c>
      <c r="L6" s="47" t="inlineStr">
        <is>
          <t>Baseline</t>
        </is>
      </c>
      <c r="M6" s="47" t="inlineStr">
        <is>
          <t>Draft</t>
        </is>
      </c>
      <c r="N6" s="46" t="inlineStr">
        <is>
          <t>원본 사양서 문구를 기준으로 작성</t>
        </is>
      </c>
    </row>
    <row r="7" ht="31" customHeight="1">
      <c r="A7" s="44" t="inlineStr">
        <is>
          <t>SYS_REQ_002</t>
        </is>
      </c>
      <c r="B7" s="45" t="inlineStr">
        <is>
          <t>Functional</t>
        </is>
      </c>
      <c r="C7" s="46" t="inlineStr">
        <is>
          <t>시스템은 Gateway ECU를 통해 CAN Network와 LIN Network 사이의 정보를 전달할 수 있어야 한다.</t>
        </is>
      </c>
      <c r="D7" s="46" t="inlineStr">
        <is>
          <t>CAN-LIN 양방향 routing capture</t>
        </is>
      </c>
      <c r="E7" s="47" t="inlineStr">
        <is>
          <t>[HB]</t>
        </is>
      </c>
      <c r="F7" s="47" t="inlineStr">
        <is>
          <t>Section 3A</t>
        </is>
      </c>
      <c r="G7" s="46" t="inlineStr">
        <is>
          <t>SF_09 CAN-LIN Signal Routing</t>
        </is>
      </c>
      <c r="H7" s="46" t="inlineStr">
        <is>
          <t>SE_03 Gateway ECU</t>
        </is>
      </c>
      <c r="I7" s="46" t="inlineStr">
        <is>
          <t>N/A — routing behavior; physical allocation is indirect</t>
        </is>
      </c>
      <c r="J7" s="46" t="inlineStr">
        <is>
          <t>CE_CAN_VCU_Gateway; CE_CAN_Motor_Gateway; CE_CAN_Gateway_Cluster; CE_LIN_Gateway_Door; CE_LIN_Gateway_Light; CE_LIN_Gateway_Window</t>
        </is>
      </c>
      <c r="K7" s="46" t="inlineStr">
        <is>
          <t>SCN-03; SCN-04; SCN-09</t>
        </is>
      </c>
      <c r="L7" s="47" t="inlineStr">
        <is>
          <t>Baseline</t>
        </is>
      </c>
      <c r="M7" s="47" t="inlineStr">
        <is>
          <t>Draft</t>
        </is>
      </c>
      <c r="N7" s="46" t="inlineStr">
        <is>
          <t>원본 사양서 문구를 기준으로 작성</t>
        </is>
      </c>
    </row>
    <row r="8" ht="31" customHeight="1">
      <c r="A8" s="44" t="inlineStr">
        <is>
          <t>SYS_REQ_003</t>
        </is>
      </c>
      <c r="B8" s="45" t="inlineStr">
        <is>
          <t>Functional</t>
        </is>
      </c>
      <c r="C8" s="46" t="inlineStr">
        <is>
          <t>시스템은 운전자 입력을 기반으로 차량 제어 상태와 Motor 제어 요청을 생성할 수 있어야 한다.</t>
        </is>
      </c>
      <c r="D8" s="46" t="inlineStr">
        <is>
          <t>VCU state/command test</t>
        </is>
      </c>
      <c r="E8" s="47" t="inlineStr">
        <is>
          <t>[HB]</t>
        </is>
      </c>
      <c r="F8" s="47" t="inlineStr">
        <is>
          <t>Section 3A</t>
        </is>
      </c>
      <c r="G8" s="46" t="inlineStr">
        <is>
          <t>SF_01 Vehicle Control</t>
        </is>
      </c>
      <c r="H8" s="46" t="inlineStr">
        <is>
          <t>SE_01 VCU ECU</t>
        </is>
      </c>
      <c r="I8" s="46" t="inlineStr">
        <is>
          <t>N/A — control logic requirement</t>
        </is>
      </c>
      <c r="J8" s="46" t="inlineStr">
        <is>
          <t>CAN Bus / VCU_Command</t>
        </is>
      </c>
      <c r="K8" s="46" t="inlineStr">
        <is>
          <t>SCN-01</t>
        </is>
      </c>
      <c r="L8" s="47" t="inlineStr">
        <is>
          <t>Baseline</t>
        </is>
      </c>
      <c r="M8" s="47" t="inlineStr">
        <is>
          <t>Draft</t>
        </is>
      </c>
      <c r="N8" s="46" t="inlineStr">
        <is>
          <t>원본 사양서 문구를 기준으로 작성</t>
        </is>
      </c>
    </row>
    <row r="9" ht="31" customHeight="1">
      <c r="A9" s="44" t="inlineStr">
        <is>
          <t>SYS_REQ_004</t>
        </is>
      </c>
      <c r="B9" s="45" t="inlineStr">
        <is>
          <t>Functional</t>
        </is>
      </c>
      <c r="C9" s="46" t="inlineStr">
        <is>
          <t>시스템은 Motor 제어 요청에 따라 Virtual Motor 상태를 생성하고 이를 시스템에 제공할 수 있어야 한다.</t>
        </is>
      </c>
      <c r="D9" s="46" t="inlineStr">
        <is>
          <t>TorqueRequest -&gt; RPM -&gt; Motor_Status</t>
        </is>
      </c>
      <c r="E9" s="47" t="inlineStr">
        <is>
          <t>[HB]</t>
        </is>
      </c>
      <c r="F9" s="47" t="inlineStr">
        <is>
          <t>Section 3A</t>
        </is>
      </c>
      <c r="G9" s="46" t="inlineStr">
        <is>
          <t>SF_02 Virtual Motor Control</t>
        </is>
      </c>
      <c r="H9" s="46" t="inlineStr">
        <is>
          <t>SE_02 Motor ECU</t>
        </is>
      </c>
      <c r="I9" s="46" t="inlineStr">
        <is>
          <t>N/A — virtual model requirement; physical demonstrator is covered separately</t>
        </is>
      </c>
      <c r="J9" s="46" t="inlineStr">
        <is>
          <t>CAN Bus / Motor_Status; CE_CAN_Motor_Gateway</t>
        </is>
      </c>
      <c r="K9" s="46" t="inlineStr">
        <is>
          <t>SCN-01; SCN-02</t>
        </is>
      </c>
      <c r="L9" s="47" t="inlineStr">
        <is>
          <t>Baseline</t>
        </is>
      </c>
      <c r="M9" s="47" t="inlineStr">
        <is>
          <t>Draft</t>
        </is>
      </c>
      <c r="N9" s="46" t="inlineStr">
        <is>
          <t>원본 사양서 문구를 기준으로 작성</t>
        </is>
      </c>
    </row>
    <row r="10" ht="31" customHeight="1">
      <c r="A10" s="44" t="inlineStr">
        <is>
          <t>SYS_REQ_005</t>
        </is>
      </c>
      <c r="B10" s="45" t="inlineStr">
        <is>
          <t>Functional</t>
        </is>
      </c>
      <c r="C10" s="46" t="inlineStr">
        <is>
          <t>시스템은 LIN Network를 통해 Door ECU를 제어하고 Door 상태를 수집할 수 있어야 한다.</t>
        </is>
      </c>
      <c r="D10" s="46" t="inlineStr">
        <is>
          <t>Door command/status LIN capture</t>
        </is>
      </c>
      <c r="E10" s="47" t="inlineStr">
        <is>
          <t>[HB]</t>
        </is>
      </c>
      <c r="F10" s="47" t="inlineStr">
        <is>
          <t>Section 3A</t>
        </is>
      </c>
      <c r="G10" s="46" t="inlineStr">
        <is>
          <t>SF_03 Door Control; SF_08 LIN Communication</t>
        </is>
      </c>
      <c r="H10" s="46" t="inlineStr">
        <is>
          <t>SE_03 Gateway ECU; SE_05 Door ECU</t>
        </is>
      </c>
      <c r="I10" s="46" t="inlineStr">
        <is>
          <t>N/A — Door control behavior; PD allocation is covered by device requirements</t>
        </is>
      </c>
      <c r="J10" s="46" t="inlineStr">
        <is>
          <t>CE_LIN_Gateway_Door; Door_Command; Door_Status</t>
        </is>
      </c>
      <c r="K10" s="46" t="inlineStr">
        <is>
          <t>SCN-04; SCN-06</t>
        </is>
      </c>
      <c r="L10" s="47" t="inlineStr">
        <is>
          <t>Baseline</t>
        </is>
      </c>
      <c r="M10" s="47" t="inlineStr">
        <is>
          <t>Draft</t>
        </is>
      </c>
      <c r="N10" s="46" t="inlineStr">
        <is>
          <t>원본 사양서 문구를 기준으로 작성</t>
        </is>
      </c>
    </row>
    <row r="11" ht="31" customHeight="1">
      <c r="A11" s="44" t="inlineStr">
        <is>
          <t>SYS_REQ_006</t>
        </is>
      </c>
      <c r="B11" s="45" t="inlineStr">
        <is>
          <t>Functional</t>
        </is>
      </c>
      <c r="C11" s="46" t="inlineStr">
        <is>
          <t>시스템은 LIN Network를 통해 Light ECU를 제어하고 Light 상태를 수집할 수 있어야 한다.</t>
        </is>
      </c>
      <c r="D11" s="46" t="inlineStr">
        <is>
          <t>Light command/status and output</t>
        </is>
      </c>
      <c r="E11" s="47" t="inlineStr">
        <is>
          <t>[HB]</t>
        </is>
      </c>
      <c r="F11" s="47" t="inlineStr">
        <is>
          <t>Section 3A</t>
        </is>
      </c>
      <c r="G11" s="46" t="inlineStr">
        <is>
          <t>SF_04 Light Control; SF_08 LIN Communication</t>
        </is>
      </c>
      <c r="H11" s="46" t="inlineStr">
        <is>
          <t>SE_03 Gateway ECU; SE_06 Light ECU</t>
        </is>
      </c>
      <c r="I11" s="46" t="inlineStr">
        <is>
          <t>N/A — Light control behavior; PD allocation is covered by device requirements</t>
        </is>
      </c>
      <c r="J11" s="46" t="inlineStr">
        <is>
          <t>CE_LIN_Gateway_Light; Light_Command; Light_Status</t>
        </is>
      </c>
      <c r="K11" s="46" t="inlineStr">
        <is>
          <t>SCN-03</t>
        </is>
      </c>
      <c r="L11" s="47" t="inlineStr">
        <is>
          <t>Baseline</t>
        </is>
      </c>
      <c r="M11" s="47" t="inlineStr">
        <is>
          <t>Draft</t>
        </is>
      </c>
      <c r="N11" s="46" t="inlineStr">
        <is>
          <t>원본 사양서 문구를 기준으로 작성</t>
        </is>
      </c>
    </row>
    <row r="12" ht="31" customHeight="1">
      <c r="A12" s="44" t="inlineStr">
        <is>
          <t>SYS_REQ_007</t>
        </is>
      </c>
      <c r="B12" s="45" t="inlineStr">
        <is>
          <t>Functional</t>
        </is>
      </c>
      <c r="C12" s="46" t="inlineStr">
        <is>
          <t>시스템은 차량, Motor, Body 상태를 Cluster를 통해 표시할 수 있어야 한다.</t>
        </is>
      </c>
      <c r="D12" s="46" t="inlineStr">
        <is>
          <t>Cluster display evidence</t>
        </is>
      </c>
      <c r="E12" s="47" t="inlineStr">
        <is>
          <t>[HB]</t>
        </is>
      </c>
      <c r="F12" s="47" t="inlineStr">
        <is>
          <t>Section 3A</t>
        </is>
      </c>
      <c r="G12" s="46" t="inlineStr">
        <is>
          <t>SF_06 Vehicle / Body Status Display</t>
        </is>
      </c>
      <c r="H12" s="46" t="inlineStr">
        <is>
          <t>SE_04 Cluster ECU</t>
        </is>
      </c>
      <c r="I12" s="46" t="inlineStr">
        <is>
          <t>N/A — display function; display hardware is covered by SYS_REQ_049</t>
        </is>
      </c>
      <c r="J12" s="46" t="inlineStr">
        <is>
          <t>CE_CAN_Gateway_Cluster; Vehicle_Status; Body_Status; Fault_Status</t>
        </is>
      </c>
      <c r="K12" s="46" t="inlineStr">
        <is>
          <t>SCN-01; SCN-03; SCN-04; SCN-07; SCN-09</t>
        </is>
      </c>
      <c r="L12" s="47" t="inlineStr">
        <is>
          <t>Baseline</t>
        </is>
      </c>
      <c r="M12" s="47" t="inlineStr">
        <is>
          <t>Draft</t>
        </is>
      </c>
      <c r="N12" s="46" t="inlineStr">
        <is>
          <t>원본 사양서 문구를 기준으로 작성</t>
        </is>
      </c>
    </row>
    <row r="13" ht="31" customHeight="1">
      <c r="A13" s="44" t="inlineStr">
        <is>
          <t>SYS_REQ_008</t>
        </is>
      </c>
      <c r="B13" s="45" t="inlineStr">
        <is>
          <t>Functional</t>
        </is>
      </c>
      <c r="C13" s="46" t="inlineStr">
        <is>
          <t>시스템은 CAN과 LIN 사이에서 Signal의 의미를 유지하면서 필요한 정보를 Routing할 수 있어야 한다.</t>
        </is>
      </c>
      <c r="D13" s="46" t="inlineStr">
        <is>
          <t>Routing table and decoded value</t>
        </is>
      </c>
      <c r="E13" s="47" t="inlineStr">
        <is>
          <t>[HB]</t>
        </is>
      </c>
      <c r="F13" s="47" t="inlineStr">
        <is>
          <t>Section 3A</t>
        </is>
      </c>
      <c r="G13" s="46" t="inlineStr">
        <is>
          <t>SF_09 CAN-LIN Signal Routing</t>
        </is>
      </c>
      <c r="H13" s="46" t="inlineStr">
        <is>
          <t>SE_03 Gateway ECU</t>
        </is>
      </c>
      <c r="I13" s="46" t="inlineStr">
        <is>
          <t>N/A — routing behavior; physical allocation is indirect</t>
        </is>
      </c>
      <c r="J13" s="46" t="inlineStr">
        <is>
          <t>CAN↔LIN routing exchanges; CE_CAN_VCU_Gateway; CE_LIN_Gateway_Door/Light/Window; CE_CAN_Gateway_Cluster</t>
        </is>
      </c>
      <c r="K13" s="46" t="inlineStr">
        <is>
          <t>SCN-03; SCN-04; SCN-09</t>
        </is>
      </c>
      <c r="L13" s="47" t="inlineStr">
        <is>
          <t>Baseline</t>
        </is>
      </c>
      <c r="M13" s="47" t="inlineStr">
        <is>
          <t>Draft</t>
        </is>
      </c>
      <c r="N13" s="46" t="inlineStr">
        <is>
          <t>원본 사양서 문구를 기준으로 작성</t>
        </is>
      </c>
    </row>
    <row r="14" ht="31" customHeight="1">
      <c r="A14" s="44" t="inlineStr">
        <is>
          <t>SYS_REQ_009</t>
        </is>
      </c>
      <c r="B14" s="45" t="inlineStr">
        <is>
          <t>Network Communication</t>
        </is>
      </c>
      <c r="C14" s="46" t="inlineStr">
        <is>
          <t>CAN Network는 500 kbps로 동작해야 한다.</t>
        </is>
      </c>
      <c r="D14" s="46" t="inlineStr">
        <is>
          <t>CAN configuration and capture</t>
        </is>
      </c>
      <c r="E14" s="47" t="inlineStr">
        <is>
          <t>[HB]</t>
        </is>
      </c>
      <c r="F14" s="47" t="inlineStr">
        <is>
          <t>Section 3B</t>
        </is>
      </c>
      <c r="G14" s="46" t="inlineStr">
        <is>
          <t>SF_07 CAN Communication</t>
        </is>
      </c>
      <c r="H14" s="46" t="inlineStr">
        <is>
          <t>SE_01 VCU ECU; SE_02 Motor ECU; SE_03 Gateway ECU; SE_04 Cluster ECU</t>
        </is>
      </c>
      <c r="I14" s="46" t="inlineStr">
        <is>
          <t>CAN Bus; VCU/Motor/Gateway/Cluster physical nodes (PA)</t>
        </is>
      </c>
      <c r="J14" s="46" t="inlineStr">
        <is>
          <t>CAN Bus / 500 kbps</t>
        </is>
      </c>
      <c r="K14" s="46" t="inlineStr">
        <is>
          <t>SCN-01</t>
        </is>
      </c>
      <c r="L14" s="47" t="inlineStr">
        <is>
          <t>Baseline</t>
        </is>
      </c>
      <c r="M14" s="47" t="inlineStr">
        <is>
          <t>Draft</t>
        </is>
      </c>
      <c r="N14" s="46" t="inlineStr">
        <is>
          <t>원본 사양서 문구를 기준으로 작성</t>
        </is>
      </c>
    </row>
    <row r="15" ht="31" customHeight="1">
      <c r="A15" s="44" t="inlineStr">
        <is>
          <t>SYS_REQ_010</t>
        </is>
      </c>
      <c r="B15" s="45" t="inlineStr">
        <is>
          <t>Network Communication</t>
        </is>
      </c>
      <c r="C15" s="46" t="inlineStr">
        <is>
          <t>LIN Network는 19.2 kbps로 동작해야 한다.</t>
        </is>
      </c>
      <c r="D15" s="46" t="inlineStr">
        <is>
          <t>LIN waveform and timing</t>
        </is>
      </c>
      <c r="E15" s="47" t="inlineStr">
        <is>
          <t>[HB]</t>
        </is>
      </c>
      <c r="F15" s="47" t="inlineStr">
        <is>
          <t>Section 3B</t>
        </is>
      </c>
      <c r="G15" s="46" t="inlineStr">
        <is>
          <t>SF_08 LIN Communication</t>
        </is>
      </c>
      <c r="H15" s="46" t="inlineStr">
        <is>
          <t>SE_03 Gateway ECU; SE_05 Door ECU; SE_06 Light ECU; SE_08 Window ECU</t>
        </is>
      </c>
      <c r="I15" s="46" t="inlineStr">
        <is>
          <t>LIN Bus; Gateway LIN Master Interface; Door/Light/Window physical nodes (PA)</t>
        </is>
      </c>
      <c r="J15" s="46" t="inlineStr">
        <is>
          <t>LIN Bus / 19.2 kbps</t>
        </is>
      </c>
      <c r="K15" s="46" t="inlineStr">
        <is>
          <t>SCN-03; SCN-04; SCN-06; SCN-09</t>
        </is>
      </c>
      <c r="L15" s="47" t="inlineStr">
        <is>
          <t>Baseline</t>
        </is>
      </c>
      <c r="M15" s="47" t="inlineStr">
        <is>
          <t>Draft</t>
        </is>
      </c>
      <c r="N15" s="46" t="inlineStr">
        <is>
          <t>원본 사양서 문구를 기준으로 작성</t>
        </is>
      </c>
    </row>
    <row r="16" ht="31" customHeight="1">
      <c r="A16" s="44" t="inlineStr">
        <is>
          <t>SYS_REQ_011</t>
        </is>
      </c>
      <c r="B16" s="45" t="inlineStr">
        <is>
          <t>Network Communication</t>
        </is>
      </c>
      <c r="C16" s="46" t="inlineStr">
        <is>
          <t>CAN Network에는 VCU ECU, Motor ECU, Gateway ECU, Cluster ECU가 참여해야 한다.</t>
        </is>
      </c>
      <c r="D16" s="46" t="inlineStr">
        <is>
          <t>CAN topology and node evidence</t>
        </is>
      </c>
      <c r="E16" s="47" t="inlineStr">
        <is>
          <t>[HB]</t>
        </is>
      </c>
      <c r="F16" s="47" t="inlineStr">
        <is>
          <t>Section 3B</t>
        </is>
      </c>
      <c r="G16" s="46" t="inlineStr">
        <is>
          <t>SF_07 CAN Communication</t>
        </is>
      </c>
      <c r="H16" s="46" t="inlineStr">
        <is>
          <t>SE_01 VCU ECU; SE_02 Motor ECU; SE_03 Gateway ECU; SE_04 Cluster ECU</t>
        </is>
      </c>
      <c r="I16" s="46" t="inlineStr">
        <is>
          <t>CAN Bus; VCU/Motor/Gateway/Cluster physical nodes (PA)</t>
        </is>
      </c>
      <c r="J16" s="46" t="inlineStr">
        <is>
          <t>CAN Bus / node topology</t>
        </is>
      </c>
      <c r="K16" s="46" t="inlineStr">
        <is>
          <t>SCN-01</t>
        </is>
      </c>
      <c r="L16" s="47" t="inlineStr">
        <is>
          <t>Baseline</t>
        </is>
      </c>
      <c r="M16" s="47" t="inlineStr">
        <is>
          <t>Draft</t>
        </is>
      </c>
      <c r="N16" s="46" t="inlineStr">
        <is>
          <t>원본 사양서 문구를 기준으로 작성</t>
        </is>
      </c>
    </row>
    <row r="17" ht="31" customHeight="1">
      <c r="A17" s="44" t="inlineStr">
        <is>
          <t>SYS_REQ_012</t>
        </is>
      </c>
      <c r="B17" s="45" t="inlineStr">
        <is>
          <t>Network Communication</t>
        </is>
      </c>
      <c r="C17" s="46" t="inlineStr">
        <is>
          <t>Gateway ECU는 LIN Master로 동작하고 Door ECU, Light ECU, Window ECU는 LIN Slave로 동작해야 한다.</t>
        </is>
      </c>
      <c r="D17" s="46" t="inlineStr">
        <is>
          <t>LIN topology and response capture</t>
        </is>
      </c>
      <c r="E17" s="47" t="inlineStr">
        <is>
          <t>[REVISION][TEAM]</t>
        </is>
      </c>
      <c r="F17" s="47" t="inlineStr">
        <is>
          <t>Section 3B</t>
        </is>
      </c>
      <c r="G17" s="46" t="inlineStr">
        <is>
          <t>SF_08 LIN Communication</t>
        </is>
      </c>
      <c r="H17" s="46" t="inlineStr">
        <is>
          <t>SE_03 Gateway ECU; SE_05 Door ECU; SE_06 Light ECU; SE_08 Window ECU</t>
        </is>
      </c>
      <c r="I17" s="46" t="inlineStr">
        <is>
          <t>LIN Bus; Gateway/Door/Light/Window physical nodes (PA)</t>
        </is>
      </c>
      <c r="J17" s="46" t="inlineStr">
        <is>
          <t>LIN Bus; CE_LIN_Gateway_Door; CE_LIN_Gateway_Light; CE_LIN_Gateway_Window</t>
        </is>
      </c>
      <c r="K17" s="46" t="inlineStr">
        <is>
          <t>SCN-03; SCN-04; SCN-06; SCN-09</t>
        </is>
      </c>
      <c r="L17" s="47" t="inlineStr">
        <is>
          <t>Team baseline</t>
        </is>
      </c>
      <c r="M17" s="47" t="inlineStr">
        <is>
          <t>Draft</t>
        </is>
      </c>
      <c r="N17" s="46" t="inlineStr">
        <is>
          <t>V0.3: SYS-ARCH-SPEC-001 v1.0 Baseline 문구 복원. 세부 설명은 Allocation/Interface/Review 항목으로 분리.</t>
        </is>
      </c>
    </row>
    <row r="18" ht="31" customHeight="1">
      <c r="A18" s="44" t="inlineStr">
        <is>
          <t>SYS_REQ_013</t>
        </is>
      </c>
      <c r="B18" s="45" t="inlineStr">
        <is>
          <t>Network Communication</t>
        </is>
      </c>
      <c r="C18" s="46" t="inlineStr">
        <is>
          <t>LIN Master는 정의된 LIN Schedule에 따라 LIN Frame을 송수신해야 한다.</t>
        </is>
      </c>
      <c r="D18" s="46" t="inlineStr">
        <is>
          <t>Schedule table and PulseView</t>
        </is>
      </c>
      <c r="E18" s="47" t="inlineStr">
        <is>
          <t>[HB]</t>
        </is>
      </c>
      <c r="F18" s="47" t="inlineStr">
        <is>
          <t>Section 3B</t>
        </is>
      </c>
      <c r="G18" s="46" t="inlineStr">
        <is>
          <t>SF_08 LIN Communication; SF_10 Cross-Network Timing / Rate Adaptation</t>
        </is>
      </c>
      <c r="H18" s="46" t="inlineStr">
        <is>
          <t>SE_03 Gateway ECU</t>
        </is>
      </c>
      <c r="I18" s="46" t="inlineStr">
        <is>
          <t>N/A — Schedule Table is an interface artifact; device allocation is indirect</t>
        </is>
      </c>
      <c r="J18" s="46" t="inlineStr">
        <is>
          <t>LIN Schedule; LDF는 팀 선택 산출물이며 세부 Slot/Frame은 Interface Freeze에서 확정</t>
        </is>
      </c>
      <c r="K18" s="46" t="inlineStr">
        <is>
          <t>SCN-03; SCN-04; SCN-09</t>
        </is>
      </c>
      <c r="L18" s="47" t="inlineStr">
        <is>
          <t>Baseline</t>
        </is>
      </c>
      <c r="M18" s="47" t="inlineStr">
        <is>
          <t>Draft</t>
        </is>
      </c>
      <c r="N18" s="46" t="inlineStr">
        <is>
          <t>V0.3: Baseline 문구 복원. LDF는 팀 선택 산출물이며 Handbook 필수 산출물은 아님. Schedule 상세는 Interface Freeze에서 확정.</t>
        </is>
      </c>
    </row>
    <row r="19" ht="31" customHeight="1">
      <c r="A19" s="44" t="inlineStr">
        <is>
          <t>SYS_REQ_014</t>
        </is>
      </c>
      <c r="B19" s="45" t="inlineStr">
        <is>
          <t>Gateway</t>
        </is>
      </c>
      <c r="C19" s="46" t="inlineStr">
        <is>
          <t>Gateway ECU는 CAN Node와 LIN Master 기능을 동시에 수행해야 한다.</t>
        </is>
      </c>
      <c r="D19" s="46" t="inlineStr">
        <is>
          <t>Gateway CAN/LIN bring-up</t>
        </is>
      </c>
      <c r="E19" s="47" t="inlineStr">
        <is>
          <t>[HB]</t>
        </is>
      </c>
      <c r="F19" s="47" t="inlineStr">
        <is>
          <t>Section 3C</t>
        </is>
      </c>
      <c r="G19" s="46" t="inlineStr">
        <is>
          <t>SF_07 CAN Communication; SF_08 LIN Communication</t>
        </is>
      </c>
      <c r="H19" s="46" t="inlineStr">
        <is>
          <t>SE_03 Gateway ECU</t>
        </is>
      </c>
      <c r="I19" s="46" t="inlineStr">
        <is>
          <t>Gateway ECU; CAN Interface; LIN Master Interface</t>
        </is>
      </c>
      <c r="J19" s="46" t="inlineStr">
        <is>
          <t>CAN Bus; LIN Bus; Gateway CAN Interface; Gateway LIN Master Interface</t>
        </is>
      </c>
      <c r="K19" s="46" t="inlineStr">
        <is>
          <t>SCN-01; SCN-03; SCN-04; SCN-09</t>
        </is>
      </c>
      <c r="L19" s="47" t="inlineStr">
        <is>
          <t>Baseline</t>
        </is>
      </c>
      <c r="M19" s="47" t="inlineStr">
        <is>
          <t>Draft</t>
        </is>
      </c>
      <c r="N19" s="46" t="inlineStr">
        <is>
          <t>원본 사양서 문구를 기준으로 작성</t>
        </is>
      </c>
    </row>
    <row r="20" ht="31" customHeight="1">
      <c r="A20" s="44" t="inlineStr">
        <is>
          <t>SYS_REQ_015</t>
        </is>
      </c>
      <c r="B20" s="45" t="inlineStr">
        <is>
          <t>Gateway</t>
        </is>
      </c>
      <c r="C20" s="46" t="inlineStr">
        <is>
          <t>Gateway ECU는 CAN에서 수신한 정보를 정의된 Routing 규칙에 따라 LIN 대상 Signal에 매핑 및 재구성하여 전달할 수 있어야 한다.</t>
        </is>
      </c>
      <c r="D20" s="46" t="inlineStr">
        <is>
          <t>CAN -&gt; LIN E2E</t>
        </is>
      </c>
      <c r="E20" s="47" t="inlineStr">
        <is>
          <t>[HB]</t>
        </is>
      </c>
      <c r="F20" s="47" t="inlineStr">
        <is>
          <t>Section 3C</t>
        </is>
      </c>
      <c r="G20" s="46" t="inlineStr">
        <is>
          <t>SF_09 CAN-LIN Signal Routing</t>
        </is>
      </c>
      <c r="H20" s="46" t="inlineStr">
        <is>
          <t>SE_03 Gateway ECU</t>
        </is>
      </c>
      <c r="I20" s="46" t="inlineStr">
        <is>
          <t>N/A — routing logic; physical allocation is indirect</t>
        </is>
      </c>
      <c r="J20" s="46" t="inlineStr">
        <is>
          <t>CE_CAN_VCU_Gateway -&gt; Gateway Routing -&gt; CE_LIN_Gateway_Door/Light/Window</t>
        </is>
      </c>
      <c r="K20" s="46" t="inlineStr">
        <is>
          <t>SCN-03; SCN-04; SCN-09</t>
        </is>
      </c>
      <c r="L20" s="47" t="inlineStr">
        <is>
          <t>Baseline</t>
        </is>
      </c>
      <c r="M20" s="47" t="inlineStr">
        <is>
          <t>Draft</t>
        </is>
      </c>
      <c r="N20" s="46" t="inlineStr">
        <is>
          <t>V0.3: SYS-ARCH-SPEC-001 v1.0 Baseline 문구 복원. 세부 설명은 Allocation/Interface/Review 항목으로 분리.</t>
        </is>
      </c>
    </row>
    <row r="21" ht="31" customHeight="1">
      <c r="A21" s="44" t="inlineStr">
        <is>
          <t>SYS_REQ_016</t>
        </is>
      </c>
      <c r="B21" s="45" t="inlineStr">
        <is>
          <t>Gateway</t>
        </is>
      </c>
      <c r="C21" s="46" t="inlineStr">
        <is>
          <t>Gateway ECU는 LIN에서 수신한 정보를 정의된 Routing 규칙에 따라 CAN 대상 Signal에 매핑 및 재구성하여 전달할 수 있어야 한다.</t>
        </is>
      </c>
      <c r="D21" s="46" t="inlineStr">
        <is>
          <t>LIN -&gt; CAN E2E</t>
        </is>
      </c>
      <c r="E21" s="47" t="inlineStr">
        <is>
          <t>[HB]</t>
        </is>
      </c>
      <c r="F21" s="47" t="inlineStr">
        <is>
          <t>Section 3C</t>
        </is>
      </c>
      <c r="G21" s="46" t="inlineStr">
        <is>
          <t>SF_09 CAN-LIN Signal Routing</t>
        </is>
      </c>
      <c r="H21" s="46" t="inlineStr">
        <is>
          <t>SE_03 Gateway ECU</t>
        </is>
      </c>
      <c r="I21" s="46" t="inlineStr">
        <is>
          <t>N/A — routing logic; physical allocation is indirect</t>
        </is>
      </c>
      <c r="J21" s="46" t="inlineStr">
        <is>
          <t>CE_LIN_Gateway_Door/Light/Window -&gt; Gateway Routing -&gt; CE_CAN_Gateway_Cluster / CE_CAN_PC_Gateway</t>
        </is>
      </c>
      <c r="K21" s="46" t="inlineStr">
        <is>
          <t>SCN-03; SCN-04; SCN-09</t>
        </is>
      </c>
      <c r="L21" s="47" t="inlineStr">
        <is>
          <t>Baseline</t>
        </is>
      </c>
      <c r="M21" s="47" t="inlineStr">
        <is>
          <t>Draft</t>
        </is>
      </c>
      <c r="N21" s="46" t="inlineStr">
        <is>
          <t>V0.3: SYS-ARCH-SPEC-001 v1.0 Baseline 문구 복원. 세부 설명은 Allocation/Interface/Review 항목으로 분리.</t>
        </is>
      </c>
    </row>
    <row r="22" ht="31" customHeight="1">
      <c r="A22" s="44" t="inlineStr">
        <is>
          <t>SYS_REQ_017</t>
        </is>
      </c>
      <c r="B22" s="45" t="inlineStr">
        <is>
          <t>Gateway</t>
        </is>
      </c>
      <c r="C22" s="46" t="inlineStr">
        <is>
          <t>Gateway ECU는 통신 상태를 감시하고 ECU의 online/offline 상태를 판단할 수 있어야 한다.</t>
        </is>
      </c>
      <c r="D22" s="46" t="inlineStr">
        <is>
          <t>Health log and fault test</t>
        </is>
      </c>
      <c r="E22" s="47" t="inlineStr">
        <is>
          <t>[HB]</t>
        </is>
      </c>
      <c r="F22" s="47" t="inlineStr">
        <is>
          <t>Section 3C</t>
        </is>
      </c>
      <c r="G22" s="46" t="inlineStr">
        <is>
          <t>SF_11 Network Health Monitoring</t>
        </is>
      </c>
      <c r="H22" s="46" t="inlineStr">
        <is>
          <t>SE_03 Gateway ECU</t>
        </is>
      </c>
      <c r="I22" s="46" t="inlineStr">
        <is>
          <t>N/A — monitoring logic; physical allocation is indirect</t>
        </is>
      </c>
      <c r="J22" s="46" t="inlineStr">
        <is>
          <t>Health observations; Fault_Status</t>
        </is>
      </c>
      <c r="K22" s="46" t="inlineStr">
        <is>
          <t>SCN-05; SCN-06; SCN-07</t>
        </is>
      </c>
      <c r="L22" s="47" t="inlineStr">
        <is>
          <t>Baseline</t>
        </is>
      </c>
      <c r="M22" s="47" t="inlineStr">
        <is>
          <t>Draft</t>
        </is>
      </c>
      <c r="N22" s="46" t="inlineStr">
        <is>
          <t>원본 사양서 문구를 기준으로 작성</t>
        </is>
      </c>
    </row>
    <row r="23" ht="37.5" customHeight="1">
      <c r="A23" s="44" t="inlineStr">
        <is>
          <t>SYS_REQ_018</t>
        </is>
      </c>
      <c r="B23" s="45" t="inlineStr">
        <is>
          <t>Gateway</t>
        </is>
      </c>
      <c r="C23" s="46" t="inlineStr">
        <is>
          <t>Gateway ECU는 통신 Fault를 감지하고 해당 Fault 상태를 시스템의 다른 요소에 전달할 수 있어야 한다.</t>
        </is>
      </c>
      <c r="D23" s="46" t="inlineStr">
        <is>
          <t>Fault propagation E2E</t>
        </is>
      </c>
      <c r="E23" s="47" t="inlineStr">
        <is>
          <t>[HB][D07]</t>
        </is>
      </c>
      <c r="F23" s="47" t="inlineStr">
        <is>
          <t>Section 3C</t>
        </is>
      </c>
      <c r="G23" s="46" t="inlineStr">
        <is>
          <t>SF_12 Fault Detection &amp; Recovery Management; SF_14 Fault / Health Notification</t>
        </is>
      </c>
      <c r="H23" s="46" t="inlineStr">
        <is>
          <t>SE_03 Gateway ECU; SE_04 Cluster ECU; SE_07 PC Diagnostic Tool</t>
        </is>
      </c>
      <c r="I23" s="46" t="inlineStr">
        <is>
          <t>N/A — fault management/notification logic; physical allocation is indirect</t>
        </is>
      </c>
      <c r="J23" s="46" t="inlineStr">
        <is>
          <t>Fault_Status; Gateway_Status</t>
        </is>
      </c>
      <c r="K23" s="46" t="inlineStr">
        <is>
          <t>SCN-07</t>
        </is>
      </c>
      <c r="L23" s="47" t="inlineStr">
        <is>
          <t>D-07 confirmed</t>
        </is>
      </c>
      <c r="M23" s="47" t="inlineStr">
        <is>
          <t>Draft</t>
        </is>
      </c>
      <c r="N23" s="46" t="inlineStr">
        <is>
          <t>원본 사양서 문구를 기준으로 작성</t>
        </is>
      </c>
    </row>
    <row r="24" ht="31" customHeight="1">
      <c r="A24" s="44" t="inlineStr">
        <is>
          <t>SYS_REQ_019</t>
        </is>
      </c>
      <c r="B24" s="45" t="inlineStr">
        <is>
          <t>Fault / Health</t>
        </is>
      </c>
      <c r="C24" s="46" t="inlineStr">
        <is>
          <t>시스템은 CAN Message timeout을 감지할 수 있어야 한다.</t>
        </is>
      </c>
      <c r="D24" s="46" t="inlineStr">
        <is>
          <t>Timeout injection</t>
        </is>
      </c>
      <c r="E24" s="47" t="inlineStr">
        <is>
          <t>[HB]</t>
        </is>
      </c>
      <c r="F24" s="47" t="inlineStr">
        <is>
          <t>Section 3D</t>
        </is>
      </c>
      <c r="G24" s="46" t="inlineStr">
        <is>
          <t>SF_11 Network Health Monitoring; SF_12 Fault Detection &amp; Recovery Management</t>
        </is>
      </c>
      <c r="H24" s="46" t="inlineStr">
        <is>
          <t>SE_03 Gateway ECU</t>
        </is>
      </c>
      <c r="I24" s="46" t="inlineStr">
        <is>
          <t>N/A — timeout detection logic</t>
        </is>
      </c>
      <c r="J24" s="46" t="inlineStr">
        <is>
          <t>Health observations</t>
        </is>
      </c>
      <c r="K24" s="46" t="inlineStr">
        <is>
          <t>SCN-05</t>
        </is>
      </c>
      <c r="L24" s="47" t="inlineStr">
        <is>
          <t>Baseline</t>
        </is>
      </c>
      <c r="M24" s="47" t="inlineStr">
        <is>
          <t>Draft</t>
        </is>
      </c>
      <c r="N24" s="46" t="inlineStr">
        <is>
          <t>원본 사양서 문구를 기준으로 작성</t>
        </is>
      </c>
    </row>
    <row r="25" ht="31" customHeight="1">
      <c r="A25" s="44" t="inlineStr">
        <is>
          <t>SYS_REQ_020</t>
        </is>
      </c>
      <c r="B25" s="45" t="inlineStr">
        <is>
          <t>Fault / Health</t>
        </is>
      </c>
      <c r="C25" s="46" t="inlineStr">
        <is>
          <t>VCU_Command는 정상 상태에서 10 ms expected period를 가지며, 마지막 정상 수신 후 30 ms를 초과하면 VCU timeout으로 판단해야 한다.</t>
        </is>
      </c>
      <c r="D25" s="46" t="inlineStr">
        <is>
          <t>VCU timeout threshold test</t>
        </is>
      </c>
      <c r="E25" s="47" t="inlineStr">
        <is>
          <t>[HB]</t>
        </is>
      </c>
      <c r="F25" s="47" t="inlineStr">
        <is>
          <t>Section 3D</t>
        </is>
      </c>
      <c r="G25" s="46" t="inlineStr">
        <is>
          <t>SF_11 Network Health Monitoring; SF_12 Fault Detection &amp; Recovery Management</t>
        </is>
      </c>
      <c r="H25" s="46" t="inlineStr">
        <is>
          <t>SE_01 VCU ECU; SE_02 Motor ECU; SE_03 Gateway ECU</t>
        </is>
      </c>
      <c r="I25" s="46" t="inlineStr">
        <is>
          <t>N/A — message timing requirement</t>
        </is>
      </c>
      <c r="J25" s="46" t="inlineStr">
        <is>
          <t>VCU_Command</t>
        </is>
      </c>
      <c r="K25" s="46" t="inlineStr">
        <is>
          <t>SCN-05</t>
        </is>
      </c>
      <c r="L25" s="47" t="inlineStr">
        <is>
          <t>Baseline</t>
        </is>
      </c>
      <c r="M25" s="47" t="inlineStr">
        <is>
          <t>Draft</t>
        </is>
      </c>
      <c r="N25" s="46" t="inlineStr">
        <is>
          <t>원본 사양서 문구를 기준으로 작성</t>
        </is>
      </c>
    </row>
    <row r="26" ht="37.5" customHeight="1">
      <c r="A26" s="44" t="inlineStr">
        <is>
          <t>SYS_REQ_021</t>
        </is>
      </c>
      <c r="B26" s="45" t="inlineStr">
        <is>
          <t>Fault / Health</t>
        </is>
      </c>
      <c r="C26" s="46" t="inlineStr">
        <is>
          <t>Door_Status는 100 ms Frame이며, 3 cycle 연속 no response 발생 시 Door ECU를 offline으로 판단해야 한다.</t>
        </is>
      </c>
      <c r="D26" s="46" t="inlineStr">
        <is>
          <t>3-cycle LIN no-response test</t>
        </is>
      </c>
      <c r="E26" s="47" t="inlineStr">
        <is>
          <t>[HB]</t>
        </is>
      </c>
      <c r="F26" s="47" t="inlineStr">
        <is>
          <t>Section 3D</t>
        </is>
      </c>
      <c r="G26" s="46" t="inlineStr">
        <is>
          <t>SF_08 LIN Communication; SF_11 Network Health Monitoring; SF_12 Fault Detection &amp; Recovery Management</t>
        </is>
      </c>
      <c r="H26" s="46" t="inlineStr">
        <is>
          <t>SE_03 Gateway ECU; SE_05 Door ECU</t>
        </is>
      </c>
      <c r="I26" s="46" t="inlineStr">
        <is>
          <t>Door ECU; LIN Bus (PA)</t>
        </is>
      </c>
      <c r="J26" s="46" t="inlineStr">
        <is>
          <t>Door_Status</t>
        </is>
      </c>
      <c r="K26" s="46" t="inlineStr">
        <is>
          <t>SCN-06</t>
        </is>
      </c>
      <c r="L26" s="47" t="inlineStr">
        <is>
          <t>Baseline</t>
        </is>
      </c>
      <c r="M26" s="47" t="inlineStr">
        <is>
          <t>Draft</t>
        </is>
      </c>
      <c r="N26" s="46" t="inlineStr">
        <is>
          <t>V0.3: SYS-ARCH-SPEC-001 v1.0 Baseline 문구 복원. 세부 설명은 Allocation/Interface/Review 항목으로 분리.</t>
        </is>
      </c>
    </row>
    <row r="27" ht="31" customHeight="1">
      <c r="A27" s="44" t="inlineStr">
        <is>
          <t>SYS_REQ_022</t>
        </is>
      </c>
      <c r="B27" s="45" t="inlineStr">
        <is>
          <t>Fault / Health</t>
        </is>
      </c>
      <c r="C27" s="46" t="inlineStr">
        <is>
          <t>시스템은 Alive Counter의 불연속을 감지할 수 있어야 한다.</t>
        </is>
      </c>
      <c r="D27" s="46" t="inlineStr">
        <is>
          <t>Wrong/discontinuous counter injection</t>
        </is>
      </c>
      <c r="E27" s="47" t="inlineStr">
        <is>
          <t>[HB]</t>
        </is>
      </c>
      <c r="F27" s="47" t="inlineStr">
        <is>
          <t>Section 3D</t>
        </is>
      </c>
      <c r="G27" s="46" t="inlineStr">
        <is>
          <t>SF_11 Network Health Monitoring; SF_12 Fault Detection &amp; Recovery Management</t>
        </is>
      </c>
      <c r="H27" s="46" t="inlineStr">
        <is>
          <t>SE_03 Gateway ECU</t>
        </is>
      </c>
      <c r="I27" s="46" t="inlineStr">
        <is>
          <t>N/A — counter monitoring logic</t>
        </is>
      </c>
      <c r="J27" s="46" t="inlineStr">
        <is>
          <t>Alive Counter</t>
        </is>
      </c>
      <c r="K27" s="46" t="inlineStr">
        <is>
          <t>SCN-07; SCN-08</t>
        </is>
      </c>
      <c r="L27" s="47" t="inlineStr">
        <is>
          <t>Baseline</t>
        </is>
      </c>
      <c r="M27" s="47" t="inlineStr">
        <is>
          <t>Draft</t>
        </is>
      </c>
      <c r="N27" s="46" t="inlineStr">
        <is>
          <t>원본 사양서 문구를 기준으로 작성</t>
        </is>
      </c>
    </row>
    <row r="28" ht="31" customHeight="1">
      <c r="A28" s="44" t="inlineStr">
        <is>
          <t>SYS_REQ_023</t>
        </is>
      </c>
      <c r="B28" s="45" t="inlineStr">
        <is>
          <t>Fault / Health</t>
        </is>
      </c>
      <c r="C28" s="46" t="inlineStr">
        <is>
          <t>Alive Counter는 0~15 범위에서 순환해야 한다.</t>
        </is>
      </c>
      <c r="D28" s="46" t="inlineStr">
        <is>
          <t>0..15 wrap test</t>
        </is>
      </c>
      <c r="E28" s="47" t="inlineStr">
        <is>
          <t>[HB]</t>
        </is>
      </c>
      <c r="F28" s="47" t="inlineStr">
        <is>
          <t>Section 3D</t>
        </is>
      </c>
      <c r="G28" s="46" t="inlineStr">
        <is>
          <t>SF_11 Network Health Monitoring</t>
        </is>
      </c>
      <c r="H28" s="46" t="inlineStr">
        <is>
          <t>SE_03 Gateway ECU</t>
        </is>
      </c>
      <c r="I28" s="46" t="inlineStr">
        <is>
          <t>N/A — counter definition</t>
        </is>
      </c>
      <c r="J28" s="46" t="inlineStr">
        <is>
          <t>Alive Counter</t>
        </is>
      </c>
      <c r="K28" s="46" t="inlineStr">
        <is>
          <t>N/A — dedicated Alive Counter 0..15 wrap test</t>
        </is>
      </c>
      <c r="L28" s="47" t="inlineStr">
        <is>
          <t>Baseline</t>
        </is>
      </c>
      <c r="M28" s="47" t="inlineStr">
        <is>
          <t>Draft</t>
        </is>
      </c>
      <c r="N28" s="46" t="inlineStr">
        <is>
          <t>원본 사양서 문구를 기준으로 작성</t>
        </is>
      </c>
    </row>
    <row r="29" ht="31" customHeight="1">
      <c r="A29" s="44" t="inlineStr">
        <is>
          <t>SYS_REQ_024</t>
        </is>
      </c>
      <c r="B29" s="45" t="inlineStr">
        <is>
          <t>Fault / Health</t>
        </is>
      </c>
      <c r="C29" s="46" t="inlineStr">
        <is>
          <t>VCU 통신 timeout 발생 시 Motor 제어는 TorqueApplied = 0의 fail-safe 상태로 전환되어야 한다.</t>
        </is>
      </c>
      <c r="D29" s="46" t="inlineStr">
        <is>
          <t>Motor local fail-safe evidence</t>
        </is>
      </c>
      <c r="E29" s="47" t="inlineStr">
        <is>
          <t>[HB][D07]</t>
        </is>
      </c>
      <c r="F29" s="47" t="inlineStr">
        <is>
          <t>Section 3D</t>
        </is>
      </c>
      <c r="G29" s="46" t="inlineStr">
        <is>
          <t>SF_13 Fail-safe Control</t>
        </is>
      </c>
      <c r="H29" s="46" t="inlineStr">
        <is>
          <t>SE_02 Motor ECU</t>
        </is>
      </c>
      <c r="I29" s="46" t="inlineStr">
        <is>
          <t>N/A — Virtual Motor 기준 Local Fail-safe 요구사항; 물리 Demonstrator는 SYS_REQ_046에서 별도 검증</t>
        </is>
      </c>
      <c r="J29" s="46" t="inlineStr">
        <is>
          <t>Torque inhibit / safe output</t>
        </is>
      </c>
      <c r="K29" s="46" t="inlineStr">
        <is>
          <t>SCN-05</t>
        </is>
      </c>
      <c r="L29" s="47" t="inlineStr">
        <is>
          <t>D-07 confirmed</t>
        </is>
      </c>
      <c r="M29" s="47" t="inlineStr">
        <is>
          <t>Draft</t>
        </is>
      </c>
      <c r="N29" s="46" t="inlineStr">
        <is>
          <t>V0.3: Fail-safe 검증을 물리 Motor/H-Bridge에 종속하지 않도록 Virtual Motor 기준 Local action으로 정렬.</t>
        </is>
      </c>
    </row>
    <row r="30" ht="31" customHeight="1">
      <c r="A30" s="44" t="inlineStr">
        <is>
          <t>SYS_REQ_025</t>
        </is>
      </c>
      <c r="B30" s="45" t="inlineStr">
        <is>
          <t>Fault / Health</t>
        </is>
      </c>
      <c r="C30" s="46" t="inlineStr">
        <is>
          <t>통신 Fault 및 ECU offline 상태는 Cluster와 PC Diagnostic Tool에서 확인할 수 있어야 한다.</t>
        </is>
      </c>
      <c r="D30" s="46" t="inlineStr">
        <is>
          <t>Cluster/PC fault display and log</t>
        </is>
      </c>
      <c r="E30" s="47" t="inlineStr">
        <is>
          <t>[HB]</t>
        </is>
      </c>
      <c r="F30" s="47" t="inlineStr">
        <is>
          <t>Section 3D</t>
        </is>
      </c>
      <c r="G30" s="46" t="inlineStr">
        <is>
          <t>SF_14 Fault / Health Notification</t>
        </is>
      </c>
      <c r="H30" s="46" t="inlineStr">
        <is>
          <t>SE_03 Gateway ECU; SE_04 Cluster ECU; SE_07 PC Diagnostic Tool</t>
        </is>
      </c>
      <c r="I30" s="46" t="inlineStr">
        <is>
          <t>N/A — notification behavior; physical allocation is indirect</t>
        </is>
      </c>
      <c r="J30" s="46" t="inlineStr">
        <is>
          <t>Fault_Status; Gateway_Status</t>
        </is>
      </c>
      <c r="K30" s="46" t="inlineStr">
        <is>
          <t>SCN-05; SCN-06; SCN-07</t>
        </is>
      </c>
      <c r="L30" s="47" t="inlineStr">
        <is>
          <t>Baseline</t>
        </is>
      </c>
      <c r="M30" s="47" t="inlineStr">
        <is>
          <t>Draft</t>
        </is>
      </c>
      <c r="N30" s="46" t="inlineStr">
        <is>
          <t>원본 사양서 문구를 기준으로 작성</t>
        </is>
      </c>
    </row>
    <row r="31" ht="31" customHeight="1">
      <c r="A31" s="44" t="inlineStr">
        <is>
          <t>SYS_REQ_026</t>
        </is>
      </c>
      <c r="B31" s="45" t="inlineStr">
        <is>
          <t>Fault / Health</t>
        </is>
      </c>
      <c r="C31" s="46" t="inlineStr">
        <is>
          <t>시스템은 Fault 원인이 제거되고 정상 통신이 복구되었을 때 정의된 조건에 따라 정상 상태로 복귀할 수 있어야 한다.</t>
        </is>
      </c>
      <c r="D31" s="46" t="inlineStr">
        <is>
          <t>Recovery sequence and log</t>
        </is>
      </c>
      <c r="E31" s="47" t="inlineStr">
        <is>
          <t>[HB][D07]</t>
        </is>
      </c>
      <c r="F31" s="47" t="inlineStr">
        <is>
          <t>Section 3D</t>
        </is>
      </c>
      <c r="G31" s="46" t="inlineStr">
        <is>
          <t>SF_12 Fault Detection &amp; Recovery Management</t>
        </is>
      </c>
      <c r="H31" s="46" t="inlineStr">
        <is>
          <t>SE_03 Gateway ECU</t>
        </is>
      </c>
      <c r="I31" s="46" t="inlineStr">
        <is>
          <t>N/A — recovery management logic; local action allocation is indirect</t>
        </is>
      </c>
      <c r="J31" s="46" t="inlineStr">
        <is>
          <t>Fault state and recovery</t>
        </is>
      </c>
      <c r="K31" s="46" t="inlineStr">
        <is>
          <t>SCN-08</t>
        </is>
      </c>
      <c r="L31" s="47" t="inlineStr">
        <is>
          <t>D-07 confirmed</t>
        </is>
      </c>
      <c r="M31" s="47" t="inlineStr">
        <is>
          <t>Draft</t>
        </is>
      </c>
      <c r="N31" s="46" t="inlineStr">
        <is>
          <t>원본 사양서 문구를 기준으로 작성</t>
        </is>
      </c>
    </row>
    <row r="32" ht="31" customHeight="1">
      <c r="A32" s="44" t="inlineStr">
        <is>
          <t>SYS_REQ_027</t>
        </is>
      </c>
      <c r="B32" s="45" t="inlineStr">
        <is>
          <t>Diagnostic</t>
        </is>
      </c>
      <c r="C32" s="46" t="inlineStr">
        <is>
          <t>PC Diagnostic Tool은 CANable을 통해 CAN 통신 데이터를 송수신할 수 있어야 한다.</t>
        </is>
      </c>
      <c r="D32" s="46" t="inlineStr">
        <is>
          <t>python-can/CANable test</t>
        </is>
      </c>
      <c r="E32" s="47" t="inlineStr">
        <is>
          <t>[HB]</t>
        </is>
      </c>
      <c r="F32" s="47" t="inlineStr">
        <is>
          <t>Section 3E</t>
        </is>
      </c>
      <c r="G32" s="46" t="inlineStr">
        <is>
          <t>SF_15 Diagnostic Monitoring &amp; Analysis</t>
        </is>
      </c>
      <c r="H32" s="46" t="inlineStr">
        <is>
          <t>SE_07 PC Diagnostic Tool</t>
        </is>
      </c>
      <c r="I32" s="46" t="inlineStr">
        <is>
          <t>CANable external COTS; PL_USB_PC_CANABLE; PL_CAN_CANABLE_BUS</t>
        </is>
      </c>
      <c r="J32" s="46" t="inlineStr">
        <is>
          <t>PL_USB_PC_CANABLE; PL_CAN_CANABLE_BUS; CE_CAN_PC_Gateway</t>
        </is>
      </c>
      <c r="K32" s="46" t="inlineStr">
        <is>
          <t>SCN-07</t>
        </is>
      </c>
      <c r="L32" s="47" t="inlineStr">
        <is>
          <t>Baseline</t>
        </is>
      </c>
      <c r="M32" s="47" t="inlineStr">
        <is>
          <t>Draft</t>
        </is>
      </c>
      <c r="N32" s="46" t="inlineStr">
        <is>
          <t>V0.3: SYS-ARCH-SPEC-001 v1.0 Baseline 문구 복원. 세부 설명은 Allocation/Interface/Review 항목으로 분리.</t>
        </is>
      </c>
    </row>
    <row r="33" ht="31" customHeight="1">
      <c r="A33" s="44" t="inlineStr">
        <is>
          <t>SYS_REQ_028</t>
        </is>
      </c>
      <c r="B33" s="45" t="inlineStr">
        <is>
          <t>Diagnostic</t>
        </is>
      </c>
      <c r="C33" s="46" t="inlineStr">
        <is>
          <t>PC Diagnostic Tool은 vehicle.dbc를 기준으로 CAN Message와 Signal을 해석할 수 있어야 한다.</t>
        </is>
      </c>
      <c r="D33" s="46" t="inlineStr">
        <is>
          <t>cantools parse/decode</t>
        </is>
      </c>
      <c r="E33" s="47" t="inlineStr">
        <is>
          <t>[HB]</t>
        </is>
      </c>
      <c r="F33" s="47" t="inlineStr">
        <is>
          <t>Section 3E</t>
        </is>
      </c>
      <c r="G33" s="46" t="inlineStr">
        <is>
          <t>SF_15 Diagnostic Monitoring &amp; Analysis</t>
        </is>
      </c>
      <c r="H33" s="46" t="inlineStr">
        <is>
          <t>SE_07 PC Diagnostic Tool</t>
        </is>
      </c>
      <c r="I33" s="46" t="inlineStr">
        <is>
          <t>N/A — vehicle.dbc is an input artifact for SE_07</t>
        </is>
      </c>
      <c r="J33" s="46" t="inlineStr">
        <is>
          <t>vehicle.dbc input artifact</t>
        </is>
      </c>
      <c r="K33" s="46" t="inlineStr">
        <is>
          <t>SCN-07</t>
        </is>
      </c>
      <c r="L33" s="47" t="inlineStr">
        <is>
          <t>Baseline</t>
        </is>
      </c>
      <c r="M33" s="47" t="inlineStr">
        <is>
          <t>Draft</t>
        </is>
      </c>
      <c r="N33" s="46" t="inlineStr">
        <is>
          <t>원본 사양서 문구를 기준으로 작성</t>
        </is>
      </c>
    </row>
    <row r="34" ht="31" customHeight="1">
      <c r="A34" s="44" t="inlineStr">
        <is>
          <t>SYS_REQ_029</t>
        </is>
      </c>
      <c r="B34" s="45" t="inlineStr">
        <is>
          <t>Diagnostic</t>
        </is>
      </c>
      <c r="C34" s="46" t="inlineStr">
        <is>
          <t>PC Diagnostic Tool은 ECU의 상태와 online/offline 상태를 확인할 수 있어야 한다.</t>
        </is>
      </c>
      <c r="D34" s="46" t="inlineStr">
        <is>
          <t>Health monitor evidence</t>
        </is>
      </c>
      <c r="E34" s="47" t="inlineStr">
        <is>
          <t>[HB]</t>
        </is>
      </c>
      <c r="F34" s="47" t="inlineStr">
        <is>
          <t>Section 3E</t>
        </is>
      </c>
      <c r="G34" s="46" t="inlineStr">
        <is>
          <t>SF_15 Diagnostic Monitoring &amp; Analysis</t>
        </is>
      </c>
      <c r="H34" s="46" t="inlineStr">
        <is>
          <t>SE_07 PC Diagnostic Tool</t>
        </is>
      </c>
      <c r="I34" s="46" t="inlineStr">
        <is>
          <t>N/A — monitoring function runs in SE_07</t>
        </is>
      </c>
      <c r="J34" s="46" t="inlineStr">
        <is>
          <t>CE_CAN_PC_Gateway; Gateway_Status / Fault_Status</t>
        </is>
      </c>
      <c r="K34" s="46" t="inlineStr">
        <is>
          <t>SCN-05; SCN-06; SCN-07</t>
        </is>
      </c>
      <c r="L34" s="47" t="inlineStr">
        <is>
          <t>Baseline</t>
        </is>
      </c>
      <c r="M34" s="47" t="inlineStr">
        <is>
          <t>Draft</t>
        </is>
      </c>
      <c r="N34" s="46" t="inlineStr">
        <is>
          <t>원본 사양서 문구를 기준으로 작성</t>
        </is>
      </c>
    </row>
    <row r="35" ht="31" customHeight="1">
      <c r="A35" s="44" t="inlineStr">
        <is>
          <t>SYS_REQ_030</t>
        </is>
      </c>
      <c r="B35" s="45" t="inlineStr">
        <is>
          <t>Diagnostic</t>
        </is>
      </c>
      <c r="C35" s="46" t="inlineStr">
        <is>
          <t>PC Diagnostic Tool은 System Fault 및 Network Health 정보를 확인할 수 있어야 한다.</t>
        </is>
      </c>
      <c r="D35" s="46" t="inlineStr">
        <is>
          <t>Fault/health monitor evidence</t>
        </is>
      </c>
      <c r="E35" s="47" t="inlineStr">
        <is>
          <t>[HB]</t>
        </is>
      </c>
      <c r="F35" s="47" t="inlineStr">
        <is>
          <t>Section 3E</t>
        </is>
      </c>
      <c r="G35" s="46" t="inlineStr">
        <is>
          <t>SF_14 Fault / Health Notification; SF_15 Diagnostic Monitoring &amp; Analysis</t>
        </is>
      </c>
      <c r="H35" s="46" t="inlineStr">
        <is>
          <t>SE_03 Gateway ECU; SE_04 Cluster ECU; SE_07 PC Diagnostic Tool</t>
        </is>
      </c>
      <c r="I35" s="46" t="inlineStr">
        <is>
          <t>N/A — diagnostic view; source allocation is through Gateway interfaces</t>
        </is>
      </c>
      <c r="J35" s="46" t="inlineStr">
        <is>
          <t>CE_CAN_PC_Gateway; Gateway_Status / Fault_Status</t>
        </is>
      </c>
      <c r="K35" s="46" t="inlineStr">
        <is>
          <t>SCN-05; SCN-06; SCN-07</t>
        </is>
      </c>
      <c r="L35" s="47" t="inlineStr">
        <is>
          <t>Baseline</t>
        </is>
      </c>
      <c r="M35" s="47" t="inlineStr">
        <is>
          <t>Draft</t>
        </is>
      </c>
      <c r="N35" s="46" t="inlineStr">
        <is>
          <t>V0.3: SYS-ARCH-SPEC-001 v1.0 Baseline 문구 복원. 세부 설명은 Allocation/Interface/Review 항목으로 분리.</t>
        </is>
      </c>
    </row>
    <row r="36" ht="31" customHeight="1">
      <c r="A36" s="44" t="inlineStr">
        <is>
          <t>SYS_REQ_031</t>
        </is>
      </c>
      <c r="B36" s="45" t="inlineStr">
        <is>
          <t>Diagnostic</t>
        </is>
      </c>
      <c r="C36" s="46" t="inlineStr">
        <is>
          <t>PC Diagnostic Tool은 CAN 데이터를 기록할 수 있어야 한다.</t>
        </is>
      </c>
      <c r="D36" s="46" t="inlineStr">
        <is>
          <t>Log file and schema check</t>
        </is>
      </c>
      <c r="E36" s="47" t="inlineStr">
        <is>
          <t>[HB]</t>
        </is>
      </c>
      <c r="F36" s="47" t="inlineStr">
        <is>
          <t>Section 3E</t>
        </is>
      </c>
      <c r="G36" s="46" t="inlineStr">
        <is>
          <t>SF_16 Communication Logging</t>
        </is>
      </c>
      <c r="H36" s="46" t="inlineStr">
        <is>
          <t>SE_07 PC Diagnostic Tool</t>
        </is>
      </c>
      <c r="I36" s="46" t="inlineStr">
        <is>
          <t>N/A — logging function runs in SE_07</t>
        </is>
      </c>
      <c r="J36" s="46" t="inlineStr">
        <is>
          <t>PC Diagnostic Tool log output / schema</t>
        </is>
      </c>
      <c r="K36" s="46" t="inlineStr">
        <is>
          <t>SCN-07; SCN-08</t>
        </is>
      </c>
      <c r="L36" s="47" t="inlineStr">
        <is>
          <t>Baseline</t>
        </is>
      </c>
      <c r="M36" s="47" t="inlineStr">
        <is>
          <t>Draft</t>
        </is>
      </c>
      <c r="N36" s="46" t="inlineStr">
        <is>
          <t>원본 사양서 문구를 기준으로 작성</t>
        </is>
      </c>
    </row>
    <row r="37" ht="31" customHeight="1">
      <c r="A37" s="44" t="inlineStr">
        <is>
          <t>SYS_REQ_032</t>
        </is>
      </c>
      <c r="B37" s="45" t="inlineStr">
        <is>
          <t>Diagnostic</t>
        </is>
      </c>
      <c r="C37" s="46" t="inlineStr">
        <is>
          <t>PC Diagnostic Tool은 Fault Injection을 수행할 수 있어야 한다.</t>
        </is>
      </c>
      <c r="D37" s="46" t="inlineStr">
        <is>
          <t>Injection fixture execution</t>
        </is>
      </c>
      <c r="E37" s="47" t="inlineStr">
        <is>
          <t>[HB]</t>
        </is>
      </c>
      <c r="F37" s="47" t="inlineStr">
        <is>
          <t>Section 3E</t>
        </is>
      </c>
      <c r="G37" s="46" t="inlineStr">
        <is>
          <t>SF_17 Fault Injection</t>
        </is>
      </c>
      <c r="H37" s="46" t="inlineStr">
        <is>
          <t>SE_07 PC Diagnostic Tool</t>
        </is>
      </c>
      <c r="I37" s="46" t="inlineStr">
        <is>
          <t>N/A — injection control function; target allocation is separate</t>
        </is>
      </c>
      <c r="J37" s="46" t="inlineStr">
        <is>
          <t>Fault injection path — target/path defined per test case</t>
        </is>
      </c>
      <c r="K37" s="46" t="inlineStr">
        <is>
          <t>SCN-05; SCN-06; SCN-07; SCN-08</t>
        </is>
      </c>
      <c r="L37" s="47" t="inlineStr">
        <is>
          <t>Baseline</t>
        </is>
      </c>
      <c r="M37" s="47" t="inlineStr">
        <is>
          <t>Draft</t>
        </is>
      </c>
      <c r="N37" s="46" t="inlineStr">
        <is>
          <t>원본 사양서 문구를 기준으로 작성</t>
        </is>
      </c>
    </row>
    <row r="38" ht="31" customHeight="1">
      <c r="A38" s="44" t="inlineStr">
        <is>
          <t>SYS_REQ_033</t>
        </is>
      </c>
      <c r="B38" s="45" t="inlineStr">
        <is>
          <t>Verification / Test</t>
        </is>
      </c>
      <c r="C38" s="46" t="inlineStr">
        <is>
          <t>시스템의 주요 정상 동작 및 Fault 동작은 반복 가능한 테스트 방법으로 검증할 수 있어야 한다.</t>
        </is>
      </c>
      <c r="D38" s="46" t="inlineStr">
        <is>
          <t>Test plan and repeated result</t>
        </is>
      </c>
      <c r="E38" s="47" t="inlineStr">
        <is>
          <t>[HB]</t>
        </is>
      </c>
      <c r="F38" s="47" t="inlineStr">
        <is>
          <t>Section 3F</t>
        </is>
      </c>
      <c r="G38" s="46" t="inlineStr">
        <is>
          <t>SF_18 Automated Test Execution</t>
        </is>
      </c>
      <c r="H38" s="46" t="inlineStr">
        <is>
          <t>SE_07 PC Diagnostic Tool</t>
        </is>
      </c>
      <c r="I38" s="46" t="inlineStr">
        <is>
          <t>N/A — verification capability requirement</t>
        </is>
      </c>
      <c r="J38" s="46" t="inlineStr">
        <is>
          <t>Test harness / evidence path</t>
        </is>
      </c>
      <c r="K38" s="46" t="inlineStr">
        <is>
          <t>SCN-01~SCN-10</t>
        </is>
      </c>
      <c r="L38" s="47" t="inlineStr">
        <is>
          <t>Baseline</t>
        </is>
      </c>
      <c r="M38" s="47" t="inlineStr">
        <is>
          <t>Draft</t>
        </is>
      </c>
      <c r="N38" s="46" t="inlineStr">
        <is>
          <t>원본 사양서 문구를 기준으로 작성</t>
        </is>
      </c>
    </row>
    <row r="39" ht="31" customHeight="1">
      <c r="A39" s="44" t="inlineStr">
        <is>
          <t>SYS_REQ_034</t>
        </is>
      </c>
      <c r="B39" s="45" t="inlineStr">
        <is>
          <t>Verification / Test</t>
        </is>
      </c>
      <c r="C39" s="46" t="inlineStr">
        <is>
          <t>시스템은 pytest 기반 자동화 테스트를 통해 주요 정상/Fault 시나리오를 검증할 수 있어야 한다.</t>
        </is>
      </c>
      <c r="D39" s="46" t="inlineStr">
        <is>
          <t>pytest result</t>
        </is>
      </c>
      <c r="E39" s="47" t="inlineStr">
        <is>
          <t>[HB]</t>
        </is>
      </c>
      <c r="F39" s="47" t="inlineStr">
        <is>
          <t>Section 3F</t>
        </is>
      </c>
      <c r="G39" s="46" t="inlineStr">
        <is>
          <t>SF_18 Automated Test Execution</t>
        </is>
      </c>
      <c r="H39" s="46" t="inlineStr">
        <is>
          <t>SE_07 PC Diagnostic Tool</t>
        </is>
      </c>
      <c r="I39" s="46" t="inlineStr">
        <is>
          <t>N/A — pytest execution capability in SE_07</t>
        </is>
      </c>
      <c r="J39" s="46" t="inlineStr">
        <is>
          <t>pytest test harness</t>
        </is>
      </c>
      <c r="K39" s="46" t="inlineStr">
        <is>
          <t>SCN-01~SCN-10</t>
        </is>
      </c>
      <c r="L39" s="47" t="inlineStr">
        <is>
          <t>Baseline</t>
        </is>
      </c>
      <c r="M39" s="47" t="inlineStr">
        <is>
          <t>Draft</t>
        </is>
      </c>
      <c r="N39" s="46" t="inlineStr">
        <is>
          <t>원본 사양서 문구를 기준으로 작성</t>
        </is>
      </c>
    </row>
    <row r="40" ht="31" customHeight="1">
      <c r="A40" s="44" t="inlineStr">
        <is>
          <t>SYS_REQ_035</t>
        </is>
      </c>
      <c r="B40" s="45" t="inlineStr">
        <is>
          <t>Verification / Test</t>
        </is>
      </c>
      <c r="C40" s="46" t="inlineStr">
        <is>
          <t>CAN/LIN 통신 동작은 실제 Bus 또는 측정 장비의 증적으로 확인할 수 있어야 한다.</t>
        </is>
      </c>
      <c r="D40" s="46" t="inlineStr">
        <is>
          <t>CANable/PulseView evidence</t>
        </is>
      </c>
      <c r="E40" s="47" t="inlineStr">
        <is>
          <t>[HB]</t>
        </is>
      </c>
      <c r="F40" s="47" t="inlineStr">
        <is>
          <t>Section 3F</t>
        </is>
      </c>
      <c r="G40" s="46" t="inlineStr">
        <is>
          <t>SF_18 Automated Test Execution</t>
        </is>
      </c>
      <c r="H40" s="46" t="inlineStr">
        <is>
          <t>SE_07 PC Diagnostic Tool</t>
        </is>
      </c>
      <c r="I40" s="46" t="inlineStr">
        <is>
          <t>CANable / USB Logic Analyzer + PulseView (external test equipment)</t>
        </is>
      </c>
      <c r="J40" s="46" t="inlineStr">
        <is>
          <t>CANable / PulseView measurement path</t>
        </is>
      </c>
      <c r="K40" s="46" t="inlineStr">
        <is>
          <t>SCN-01~SCN-10</t>
        </is>
      </c>
      <c r="L40" s="47" t="inlineStr">
        <is>
          <t>Baseline</t>
        </is>
      </c>
      <c r="M40" s="47" t="inlineStr">
        <is>
          <t>Draft</t>
        </is>
      </c>
      <c r="N40" s="46" t="inlineStr">
        <is>
          <t>V0.2: External measurement path separated from the PC Diagnostic Tool logical element.</t>
        </is>
      </c>
    </row>
    <row r="41" ht="31" customHeight="1">
      <c r="A41" s="44" t="inlineStr">
        <is>
          <t>SYS_REQ_036</t>
        </is>
      </c>
      <c r="B41" s="45" t="inlineStr">
        <is>
          <t>Verification / Test</t>
        </is>
      </c>
      <c r="C41" s="46" t="inlineStr">
        <is>
          <t>측정이 필요한 KPI는 실제 측정 결과와 목표값을 구분하여 기록해야 한다.</t>
        </is>
      </c>
      <c r="D41" s="46" t="inlineStr">
        <is>
          <t>KPI CSV/report</t>
        </is>
      </c>
      <c r="E41" s="47" t="inlineStr">
        <is>
          <t>[HB]</t>
        </is>
      </c>
      <c r="F41" s="47" t="inlineStr">
        <is>
          <t>Section 3F</t>
        </is>
      </c>
      <c r="G41" s="46" t="inlineStr">
        <is>
          <t>SF_18 Automated Test Execution</t>
        </is>
      </c>
      <c r="H41" s="46" t="inlineStr">
        <is>
          <t>SE_07 PC Diagnostic Tool</t>
        </is>
      </c>
      <c r="I41" s="46" t="inlineStr">
        <is>
          <t>N/A — evidence record requirement</t>
        </is>
      </c>
      <c r="J41" s="46" t="inlineStr">
        <is>
          <t>KPI CSV/report output</t>
        </is>
      </c>
      <c r="K41" s="46" t="inlineStr">
        <is>
          <t>SCN-01~SCN-10</t>
        </is>
      </c>
      <c r="L41" s="47" t="inlineStr">
        <is>
          <t>Baseline</t>
        </is>
      </c>
      <c r="M41" s="47" t="inlineStr">
        <is>
          <t>Draft</t>
        </is>
      </c>
      <c r="N41" s="46" t="inlineStr">
        <is>
          <t>원본 사양서 문구를 기준으로 작성</t>
        </is>
      </c>
    </row>
    <row r="42" ht="31" customHeight="1">
      <c r="A42" s="44" t="inlineStr">
        <is>
          <t>SYS_REQ_037</t>
        </is>
      </c>
      <c r="B42" s="45" t="inlineStr">
        <is>
          <t>Scope / Constraint</t>
        </is>
      </c>
      <c r="C42" s="46" t="inlineStr">
        <is>
          <t>Motor ECU의 기준 제어/상태 모델은 Virtual Motor 방식으로 유지해야 하며, 물리 DC Motor Demonstrator는 보조 출력 계층으로 취급해야 한다.</t>
        </is>
      </c>
      <c r="D42" s="46" t="inlineStr">
        <is>
          <t>Virtual/physical dual-path trace</t>
        </is>
      </c>
      <c r="E42" s="47" t="inlineStr">
        <is>
          <t>[REVISION][TEAM]</t>
        </is>
      </c>
      <c r="F42" s="47" t="inlineStr">
        <is>
          <t>Section 3G</t>
        </is>
      </c>
      <c r="G42" s="46" t="inlineStr">
        <is>
          <t>SF_02 Virtual Motor Control; SF_13 Fail-safe Control</t>
        </is>
      </c>
      <c r="H42" s="46" t="inlineStr">
        <is>
          <t>SE_02 Motor ECU</t>
        </is>
      </c>
      <c r="I42" s="46" t="inlineStr">
        <is>
          <t>PD_02A Motor Driver / H-Bridge; PD_02B DC Motor Demonstrator</t>
        </is>
      </c>
      <c r="J42" s="46" t="inlineStr">
        <is>
          <t>N/A — Virtual Motor / Physical Demonstrator allocation boundary</t>
        </is>
      </c>
      <c r="K42" s="46" t="inlineStr">
        <is>
          <t>SCN-01; SCN-02</t>
        </is>
      </c>
      <c r="L42" s="47" t="inlineStr">
        <is>
          <t>Team baseline</t>
        </is>
      </c>
      <c r="M42" s="47" t="inlineStr">
        <is>
          <t>Draft</t>
        </is>
      </c>
      <c r="N42" s="46" t="inlineStr">
        <is>
          <t>원본 사양서 문구를 기준으로 작성</t>
        </is>
      </c>
    </row>
    <row r="43" ht="31" customHeight="1">
      <c r="A43" s="44" t="inlineStr">
        <is>
          <t>SYS_REQ_038</t>
        </is>
      </c>
      <c r="B43" s="45" t="inlineStr">
        <is>
          <t>Scope / Constraint</t>
        </is>
      </c>
      <c r="C43" s="46" t="inlineStr">
        <is>
          <t>실제 차량 장착 및 고전압 전력부 설계는 기본 시스템 개발 범위에 포함하지 않는다.</t>
        </is>
      </c>
      <c r="D43" s="46" t="inlineStr">
        <is>
          <t>Scope review</t>
        </is>
      </c>
      <c r="E43" s="47" t="inlineStr">
        <is>
          <t>[HB]</t>
        </is>
      </c>
      <c r="F43" s="47" t="inlineStr">
        <is>
          <t>Section 3G</t>
        </is>
      </c>
      <c r="G43" s="46" t="inlineStr">
        <is>
          <t>Scope constraint</t>
        </is>
      </c>
      <c r="H43" s="46" t="inlineStr">
        <is>
          <t>Scope constraint</t>
        </is>
      </c>
      <c r="I43" s="46" t="inlineStr">
        <is>
          <t>N/A — scope constraint</t>
        </is>
      </c>
      <c r="J43" s="46" t="inlineStr">
        <is>
          <t>N/A — scope constraint</t>
        </is>
      </c>
      <c r="K43" s="46" t="inlineStr">
        <is>
          <t>Scope review</t>
        </is>
      </c>
      <c r="L43" s="47" t="inlineStr">
        <is>
          <t>Baseline</t>
        </is>
      </c>
      <c r="M43" s="47" t="inlineStr">
        <is>
          <t>Draft</t>
        </is>
      </c>
      <c r="N43" s="46" t="inlineStr">
        <is>
          <t>원본 사양서 문구를 기준으로 작성</t>
        </is>
      </c>
    </row>
    <row r="44" ht="31" customHeight="1">
      <c r="A44" s="44" t="inlineStr">
        <is>
          <t>SYS_REQ_039</t>
        </is>
      </c>
      <c r="B44" s="45" t="inlineStr">
        <is>
          <t>Scope / Constraint</t>
        </is>
      </c>
      <c r="C44" s="46" t="inlineStr">
        <is>
          <t>양산 수준의 기능안전 인증은 기본 프로젝트 범위에 포함하지 않는다.</t>
        </is>
      </c>
      <c r="D44" s="46" t="inlineStr">
        <is>
          <t>Scope review</t>
        </is>
      </c>
      <c r="E44" s="47" t="inlineStr">
        <is>
          <t>[HB]</t>
        </is>
      </c>
      <c r="F44" s="47" t="inlineStr">
        <is>
          <t>Section 3G</t>
        </is>
      </c>
      <c r="G44" s="46" t="inlineStr">
        <is>
          <t>Scope constraint</t>
        </is>
      </c>
      <c r="H44" s="46" t="inlineStr">
        <is>
          <t>Scope constraint</t>
        </is>
      </c>
      <c r="I44" s="46" t="inlineStr">
        <is>
          <t>N/A — scope constraint</t>
        </is>
      </c>
      <c r="J44" s="46" t="inlineStr">
        <is>
          <t>N/A — scope constraint</t>
        </is>
      </c>
      <c r="K44" s="46" t="inlineStr">
        <is>
          <t>Scope review</t>
        </is>
      </c>
      <c r="L44" s="47" t="inlineStr">
        <is>
          <t>Baseline</t>
        </is>
      </c>
      <c r="M44" s="47" t="inlineStr">
        <is>
          <t>Draft</t>
        </is>
      </c>
      <c r="N44" s="46" t="inlineStr">
        <is>
          <t>원본 사양서 문구를 기준으로 작성</t>
        </is>
      </c>
    </row>
    <row r="45" ht="31" customHeight="1">
      <c r="A45" s="44" t="inlineStr">
        <is>
          <t>SYS_REQ_040</t>
        </is>
      </c>
      <c r="B45" s="45" t="inlineStr">
        <is>
          <t>Scope / Constraint</t>
        </is>
      </c>
      <c r="C45" s="46" t="inlineStr">
        <is>
          <t>CAN FD, 정식 차량 진단 규격 전체 구현, HIL 연동 등은 기본 요구사항이 아닌 Stretch Goal로 관리한다.</t>
        </is>
      </c>
      <c r="D45" s="46" t="inlineStr">
        <is>
          <t>Scope/roadmap review</t>
        </is>
      </c>
      <c r="E45" s="47" t="inlineStr">
        <is>
          <t>[HB]</t>
        </is>
      </c>
      <c r="F45" s="47" t="inlineStr">
        <is>
          <t>Section 3G</t>
        </is>
      </c>
      <c r="G45" s="46" t="inlineStr">
        <is>
          <t>Scope constraint</t>
        </is>
      </c>
      <c r="H45" s="46" t="inlineStr">
        <is>
          <t>Scope constraint</t>
        </is>
      </c>
      <c r="I45" s="46" t="inlineStr">
        <is>
          <t>N/A — roadmap constraint</t>
        </is>
      </c>
      <c r="J45" s="46" t="inlineStr">
        <is>
          <t>N/A — roadmap / Stretch Goal constraint</t>
        </is>
      </c>
      <c r="K45" s="46" t="inlineStr">
        <is>
          <t>Scope / roadmap review</t>
        </is>
      </c>
      <c r="L45" s="47" t="inlineStr">
        <is>
          <t>Baseline</t>
        </is>
      </c>
      <c r="M45" s="47" t="inlineStr">
        <is>
          <t>Draft</t>
        </is>
      </c>
      <c r="N45" s="46" t="inlineStr">
        <is>
          <t>원본 사양서 문구를 기준으로 작성</t>
        </is>
      </c>
    </row>
    <row r="46" ht="31" customHeight="1">
      <c r="A46" s="44" t="inlineStr">
        <is>
          <t>SYS_REQ_041</t>
        </is>
      </c>
      <c r="B46" s="45" t="inlineStr">
        <is>
          <t>Gateway</t>
        </is>
      </c>
      <c r="C46" s="46" t="inlineStr">
        <is>
          <t>Gateway ECU는 CAN Network와 LIN Network의 서로 다른 통신 주기 및 Schedule을 고려하여 정보 전달 시점을 조정할 수 있어야 한다.</t>
        </is>
      </c>
      <c r="D46" s="46" t="inlineStr">
        <is>
          <t>Rate adaptation and schedule test</t>
        </is>
      </c>
      <c r="E46" s="47" t="inlineStr">
        <is>
          <t>[HB]</t>
        </is>
      </c>
      <c r="F46" s="47" t="inlineStr">
        <is>
          <t>Section 3G</t>
        </is>
      </c>
      <c r="G46" s="46" t="inlineStr">
        <is>
          <t>SF_10 Cross-Network Timing / Rate Adaptation</t>
        </is>
      </c>
      <c r="H46" s="46" t="inlineStr">
        <is>
          <t>SE_03 Gateway ECU</t>
        </is>
      </c>
      <c r="I46" s="46" t="inlineStr">
        <is>
          <t>N/A — timing/rate adaptation logic</t>
        </is>
      </c>
      <c r="J46" s="46" t="inlineStr">
        <is>
          <t>CAN/LIN routing + schedule timing; CE_LIN_Gateway_Door/Light/Window; CE_CAN_Gateway_Cluster</t>
        </is>
      </c>
      <c r="K46" s="46" t="inlineStr">
        <is>
          <t>SCN-03; SCN-04; SCN-09</t>
        </is>
      </c>
      <c r="L46" s="47" t="inlineStr">
        <is>
          <t>Baseline</t>
        </is>
      </c>
      <c r="M46" s="47" t="inlineStr">
        <is>
          <t>Draft</t>
        </is>
      </c>
      <c r="N46" s="46" t="inlineStr">
        <is>
          <t>V0.3: SYS-ARCH-SPEC-001 v1.0 Baseline 문구 복원. 세부 설명은 Allocation/Interface/Review 항목으로 분리.</t>
        </is>
      </c>
    </row>
    <row r="47" ht="31" customHeight="1">
      <c r="A47" s="44" t="inlineStr">
        <is>
          <t>SYS_REQ_042</t>
        </is>
      </c>
      <c r="B47" s="45" t="inlineStr">
        <is>
          <t>Added Baseline</t>
        </is>
      </c>
      <c r="C47" s="46" t="inlineStr">
        <is>
          <t>Window ECU는 Gateway LIN Master가 관리하는 기본 In-Scope LIN Slave로 포함되어야 한다.</t>
        </is>
      </c>
      <c r="D47" s="46" t="inlineStr">
        <is>
          <t>LA/PA node and LIN topology</t>
        </is>
      </c>
      <c r="E47" s="47" t="inlineStr">
        <is>
          <t>[TEAM]</t>
        </is>
      </c>
      <c r="F47" s="47" t="inlineStr">
        <is>
          <t>Section 3.1</t>
        </is>
      </c>
      <c r="G47" s="46" t="inlineStr">
        <is>
          <t>SF_08 LIN Communication; SF_19 Window Control</t>
        </is>
      </c>
      <c r="H47" s="46" t="inlineStr">
        <is>
          <t>SE_03 Gateway ECU; SE_08 Window ECU</t>
        </is>
      </c>
      <c r="I47" s="46" t="inlineStr">
        <is>
          <t>Window ECU physical node; LIN Bus (PA)</t>
        </is>
      </c>
      <c r="J47" s="46" t="inlineStr">
        <is>
          <t>LIN Bus; CE_LIN_Gateway_Window</t>
        </is>
      </c>
      <c r="K47" s="46" t="inlineStr">
        <is>
          <t>SCN-09</t>
        </is>
      </c>
      <c r="L47" s="47" t="inlineStr">
        <is>
          <t>Team baseline</t>
        </is>
      </c>
      <c r="M47" s="47" t="inlineStr">
        <is>
          <t>Draft</t>
        </is>
      </c>
      <c r="N47" s="46" t="inlineStr">
        <is>
          <t>원본 사양서 문구를 기준으로 작성</t>
        </is>
      </c>
    </row>
    <row r="48" ht="31" customHeight="1">
      <c r="A48" s="44" t="inlineStr">
        <is>
          <t>SYS_REQ_043</t>
        </is>
      </c>
      <c r="B48" s="45" t="inlineStr">
        <is>
          <t>Added Baseline</t>
        </is>
      </c>
      <c r="C48" s="46" t="inlineStr">
        <is>
          <t>Gateway는 Window Command/Status를 정의된 LIN Interface, Schedule 및 Routing 규칙에 포함해야 한다.</t>
        </is>
      </c>
      <c r="D48" s="46" t="inlineStr">
        <is>
          <t>LIN Interface/Schedule/Routing review + PulseView E2E capture</t>
        </is>
      </c>
      <c r="E48" s="47" t="inlineStr">
        <is>
          <t>[TEAM]</t>
        </is>
      </c>
      <c r="F48" s="47" t="inlineStr">
        <is>
          <t>Section 3.1</t>
        </is>
      </c>
      <c r="G48" s="46" t="inlineStr">
        <is>
          <t>SF_09 CAN-LIN Signal Routing; SF_10 Cross-Network Timing / Rate Adaptation</t>
        </is>
      </c>
      <c r="H48" s="46" t="inlineStr">
        <is>
          <t>SE_03 Gateway ECU; SE_08 Window ECU</t>
        </is>
      </c>
      <c r="I48" s="46" t="inlineStr">
        <is>
          <t>Window ECU; LIN Bus</t>
        </is>
      </c>
      <c r="J48" s="46" t="inlineStr">
        <is>
          <t>CE_LIN_Gateway_Window; Window_Command PID 0x14 / 1 byte / 100 ms / slot 10 ms / Enhanced checksum; Window_Status PID 0x15 / 2 bytes / 100 ms / slot 30 ms / Enhanced checksum; BODY_10ms = 10 ms slot / 100 ms supercycle</t>
        </is>
      </c>
      <c r="K48" s="46" t="inlineStr">
        <is>
          <t>SCN-09</t>
        </is>
      </c>
      <c r="L48" s="47" t="inlineStr">
        <is>
          <t>Frozen Team Decision / LIN Interface 변경 시 상대 담당자 리뷰 필요</t>
        </is>
      </c>
      <c r="M48" s="51" t="inlineStr">
        <is>
          <t>Frozen</t>
        </is>
      </c>
      <c r="N48" s="46" t="inlineStr">
        <is>
          <t>V0.5: 메시지 정의서 v0.4 FIX Interface를 기준으로 유지. CAN/LIN Matrix는 참고용이며 LDF/펌웨어/시험에 동일 값을 동기화합니다.</t>
        </is>
      </c>
    </row>
    <row r="49" ht="31" customHeight="1">
      <c r="A49" s="44" t="inlineStr">
        <is>
          <t>SYS_REQ_044</t>
        </is>
      </c>
      <c r="B49" s="45" t="inlineStr">
        <is>
          <t>Added Baseline</t>
        </is>
      </c>
      <c r="C49" s="46" t="inlineStr">
        <is>
          <t>Window ECU는 UP/DOWN 명령을 수행하고 Window 상태를 Gateway로 반환해야 한다.</t>
        </is>
      </c>
      <c r="D49" s="46" t="inlineStr">
        <is>
          <t>Window E2E scenario</t>
        </is>
      </c>
      <c r="E49" s="47" t="inlineStr">
        <is>
          <t>[TEAM]</t>
        </is>
      </c>
      <c r="F49" s="47" t="inlineStr">
        <is>
          <t>Section 3.1</t>
        </is>
      </c>
      <c r="G49" s="46" t="inlineStr">
        <is>
          <t>SF_19 Window Control</t>
        </is>
      </c>
      <c r="H49" s="46" t="inlineStr">
        <is>
          <t>SE_03 Gateway ECU; SE_08 Window ECU</t>
        </is>
      </c>
      <c r="I49" s="46" t="inlineStr">
        <is>
          <t>Window ECU; physical output structure covered by SYS_REQ_045</t>
        </is>
      </c>
      <c r="J49" s="46" t="inlineStr">
        <is>
          <t>CE_LIN_Gateway_Window; Window_Command / Window_Status</t>
        </is>
      </c>
      <c r="K49" s="46" t="inlineStr">
        <is>
          <t>SCN-09</t>
        </is>
      </c>
      <c r="L49" s="47" t="inlineStr">
        <is>
          <t>Team baseline</t>
        </is>
      </c>
      <c r="M49" s="47" t="inlineStr">
        <is>
          <t>Draft</t>
        </is>
      </c>
      <c r="N49" s="46" t="inlineStr">
        <is>
          <t>원본 사양서 문구를 기준으로 작성</t>
        </is>
      </c>
    </row>
    <row r="50" ht="37.5" customHeight="1">
      <c r="A50" s="44" t="inlineStr">
        <is>
          <t>SYS_REQ_045</t>
        </is>
      </c>
      <c r="B50" s="45" t="inlineStr">
        <is>
          <t>Added Baseline</t>
        </is>
      </c>
      <c r="C50" s="46" t="inlineStr">
        <is>
          <t>Window ECU는 H-Bridge, DC Gear Motor, Upper/Lower Limit Feedback을 연결하는 Physical Device 구조를 가져야 한다.</t>
        </is>
      </c>
      <c r="D50" s="46" t="inlineStr">
        <is>
          <t>PA and hardware evidence</t>
        </is>
      </c>
      <c r="E50" s="47" t="inlineStr">
        <is>
          <t>[TEAM]</t>
        </is>
      </c>
      <c r="F50" s="47" t="inlineStr">
        <is>
          <t>Section 3.1</t>
        </is>
      </c>
      <c r="G50" s="46" t="inlineStr">
        <is>
          <t>SF_19 Window Control</t>
        </is>
      </c>
      <c r="H50" s="46" t="inlineStr">
        <is>
          <t>SE_08 Window ECU</t>
        </is>
      </c>
      <c r="I50" s="46" t="inlineStr">
        <is>
          <t>PD_08A Window H-Bridge; PD_08B Window DC Gear Motor; PD_08C Upper Limit Switch; PD_08D Lower Limit Switch</t>
        </is>
      </c>
      <c r="J50" s="46" t="inlineStr">
        <is>
          <t>Window_Command STOP/UP/DOWN; UpperLimit/LowerLimit local feedback; limit active 시 해당 방향 Motor STOP/inhibit</t>
        </is>
      </c>
      <c r="K50" s="46" t="inlineStr">
        <is>
          <t>SCN-09; SCN-10</t>
        </is>
      </c>
      <c r="L50" s="47" t="inlineStr">
        <is>
          <t>Frozen Architecture Structure / HW 전기 사양은 하위 HW/BOM 문서에서 관리</t>
        </is>
      </c>
      <c r="M50" s="51" t="inlineStr">
        <is>
          <t>Frozen</t>
        </is>
      </c>
      <c r="N50" s="46" t="inlineStr">
        <is>
          <t>V0.4 Freeze: PD_08A~D 물리 구조와 Local limit-stop 책임을 확정. 전압/전류/PWM/핀 수치는 SYS_REQ Freeze 비차단 항목.</t>
        </is>
      </c>
    </row>
    <row r="51" ht="31" customHeight="1">
      <c r="A51" s="44" t="inlineStr">
        <is>
          <t>SYS_REQ_046</t>
        </is>
      </c>
      <c r="B51" s="45" t="inlineStr">
        <is>
          <t>Added Baseline</t>
        </is>
      </c>
      <c r="C51" s="46" t="inlineStr">
        <is>
          <t>Motor ECU는 Virtual Motor Model을 유지하면서 Driver/H-Bridge를 통해 DC Motor Demonstrator로 출력할 수 있어야 한다.</t>
        </is>
      </c>
      <c r="D51" s="46" t="inlineStr">
        <is>
          <t>Virtual/physical dual-path test</t>
        </is>
      </c>
      <c r="E51" s="47" t="inlineStr">
        <is>
          <t>[TEAM]</t>
        </is>
      </c>
      <c r="F51" s="47" t="inlineStr">
        <is>
          <t>Section 3.1</t>
        </is>
      </c>
      <c r="G51" s="46" t="inlineStr">
        <is>
          <t>SF_02 Virtual Motor Control; SF_13 Fail-safe Control</t>
        </is>
      </c>
      <c r="H51" s="46" t="inlineStr">
        <is>
          <t>SE_02 Motor ECU</t>
        </is>
      </c>
      <c r="I51" s="46" t="inlineStr">
        <is>
          <t>PD_02A Motor Driver / H-Bridge; PD_02B DC Motor Demonstrator</t>
        </is>
      </c>
      <c r="J51" s="46" t="inlineStr">
        <is>
          <t>Virtual Motor output → PD_02A Driver/H-Bridge → PD_02B DC Motor Demonstrator; Motor_Status software/status baseline 유지</t>
        </is>
      </c>
      <c r="K51" s="46" t="inlineStr">
        <is>
          <t>SCN-02</t>
        </is>
      </c>
      <c r="L51" s="47" t="inlineStr">
        <is>
          <t>Frozen Architecture Structure / HW 전기 사양은 하위 HW/BOM 문서에서 관리</t>
        </is>
      </c>
      <c r="M51" s="51" t="inlineStr">
        <is>
          <t>Frozen</t>
        </is>
      </c>
      <c r="N51" s="46" t="inlineStr">
        <is>
          <t>V0.4 Freeze: Virtual Motor Model이 기준 기능이며 DC Motor는 보조 Physical Demonstrator로 확정.</t>
        </is>
      </c>
    </row>
    <row r="52" ht="31" customHeight="1">
      <c r="A52" s="44" t="inlineStr">
        <is>
          <t>SYS_REQ_047</t>
        </is>
      </c>
      <c r="B52" s="45" t="inlineStr">
        <is>
          <t>Added Baseline</t>
        </is>
      </c>
      <c r="C52" s="46" t="inlineStr">
        <is>
          <t>Door ECU는 Door Lock Actuator를 제어하고 Position/Limit Feedback을 Door Status에 반영할 수 있어야 한다.</t>
        </is>
      </c>
      <c r="D52" s="46" t="inlineStr">
        <is>
          <t>Actuator/feedback evidence</t>
        </is>
      </c>
      <c r="E52" s="47" t="inlineStr">
        <is>
          <t>[TEAM]</t>
        </is>
      </c>
      <c r="F52" s="47" t="inlineStr">
        <is>
          <t>Section 3.1</t>
        </is>
      </c>
      <c r="G52" s="46" t="inlineStr">
        <is>
          <t>SF_03 Door Control</t>
        </is>
      </c>
      <c r="H52" s="46" t="inlineStr">
        <is>
          <t>SE_05 Door ECU</t>
        </is>
      </c>
      <c r="I52" s="46" t="inlineStr">
        <is>
          <t>PD_05A Door Lock Actuator; PD_05B Position / Limit Feedback</t>
        </is>
      </c>
      <c r="J52" s="46" t="inlineStr">
        <is>
          <t>Door_Command → Door Lock Actuator; Position/Limit Feedback → Door_Status</t>
        </is>
      </c>
      <c r="K52" s="46" t="inlineStr">
        <is>
          <t>SCN-04</t>
        </is>
      </c>
      <c r="L52" s="47" t="inlineStr">
        <is>
          <t>Frozen Architecture Structure / HW 전기 사양은 하위 HW/BOM 문서에서 관리</t>
        </is>
      </c>
      <c r="M52" s="51" t="inlineStr">
        <is>
          <t>Frozen</t>
        </is>
      </c>
      <c r="N52" s="46" t="inlineStr">
        <is>
          <t>V0.4 Freeze: Door actuator/feedback의 기능 경계와 상태 반영 경로를 확정. 전기 수치는 별도 HW 사양으로 관리.</t>
        </is>
      </c>
    </row>
    <row r="53" ht="31" customHeight="1">
      <c r="A53" s="44" t="inlineStr">
        <is>
          <t>SYS_REQ_048</t>
        </is>
      </c>
      <c r="B53" s="45" t="inlineStr">
        <is>
          <t>Added Baseline</t>
        </is>
      </c>
      <c r="C53" s="46" t="inlineStr">
        <is>
          <t>Light ECU는 Light Command를 실제 LED/Lamp Output으로 표현할 수 있어야 한다.</t>
        </is>
      </c>
      <c r="D53" s="46" t="inlineStr">
        <is>
          <t>Lamp output and status</t>
        </is>
      </c>
      <c r="E53" s="47" t="inlineStr">
        <is>
          <t>[TEAM]</t>
        </is>
      </c>
      <c r="F53" s="47" t="inlineStr">
        <is>
          <t>Section 3.1</t>
        </is>
      </c>
      <c r="G53" s="46" t="inlineStr">
        <is>
          <t>SF_04 Light Control</t>
        </is>
      </c>
      <c r="H53" s="46" t="inlineStr">
        <is>
          <t>SE_06 Light ECU</t>
        </is>
      </c>
      <c r="I53" s="46" t="inlineStr">
        <is>
          <t>PD_06A LED / Lamp Loads</t>
        </is>
      </c>
      <c r="J53" s="46" t="inlineStr">
        <is>
          <t>Light_Command → LED/Lamp Loads; Light_Status/LampState bitmask → Gateway/Body_Status</t>
        </is>
      </c>
      <c r="K53" s="46" t="inlineStr">
        <is>
          <t>SCN-03</t>
        </is>
      </c>
      <c r="L53" s="47" t="inlineStr">
        <is>
          <t>Frozen Architecture Structure / HW 전기 사양은 하위 HW/BOM 문서에서 관리</t>
        </is>
      </c>
      <c r="M53" s="51" t="inlineStr">
        <is>
          <t>Frozen</t>
        </is>
      </c>
      <c r="N53" s="46" t="inlineStr">
        <is>
          <t>V0.4 Freeze: Light ECU의 실제 LED/Lamp 출력 및 상태 반환 경로 확정. Driver 전기 사양은 별도 HW 사양으로 관리.</t>
        </is>
      </c>
    </row>
    <row r="54" ht="31" customHeight="1">
      <c r="A54" s="44" t="inlineStr">
        <is>
          <t>SYS_REQ_049</t>
        </is>
      </c>
      <c r="B54" s="45" t="inlineStr">
        <is>
          <t>Added Baseline</t>
        </is>
      </c>
      <c r="C54" s="46" t="inlineStr">
        <is>
          <t>Cluster ECU는 Vehicle/Body/Fault/Health 정보를 ST7796S TFT에 표시할 수 있어야 한다.</t>
        </is>
      </c>
      <c r="D54" s="46" t="inlineStr">
        <is>
          <t>TFT display evidence</t>
        </is>
      </c>
      <c r="E54" s="47" t="inlineStr">
        <is>
          <t>[TEAM]</t>
        </is>
      </c>
      <c r="F54" s="47" t="inlineStr">
        <is>
          <t>Section 3.1</t>
        </is>
      </c>
      <c r="G54" s="46" t="inlineStr">
        <is>
          <t>SF_06 Vehicle / Body Status Display</t>
        </is>
      </c>
      <c r="H54" s="46" t="inlineStr">
        <is>
          <t>SE_04 Cluster ECU</t>
        </is>
      </c>
      <c r="I54" s="46" t="inlineStr">
        <is>
          <t>PD_04A ST7796S TFT</t>
        </is>
      </c>
      <c r="J54" s="46" t="inlineStr">
        <is>
          <t>Vehicle_Status / Body_Status / Gateway_Status / Fault_Status → ST7796S TFT display</t>
        </is>
      </c>
      <c r="K54" s="46" t="inlineStr">
        <is>
          <t>SCN-01; SCN-03; SCN-04; SCN-05; SCN-06; SCN-07; SCN-09</t>
        </is>
      </c>
      <c r="L54" s="47" t="inlineStr">
        <is>
          <t>Frozen Architecture Structure / TFT 핀·드라이버 세부는 하위 HW/FW 문서에서 관리</t>
        </is>
      </c>
      <c r="M54" s="51" t="inlineStr">
        <is>
          <t>Frozen</t>
        </is>
      </c>
      <c r="N54" s="46" t="inlineStr">
        <is>
          <t>V0.4 Freeze: ST7796S TFT를 Cluster의 Physical Display로 확정하고 Vehicle/Body/Fault/Health 표시 범위를 유지.</t>
        </is>
      </c>
    </row>
    <row r="55" ht="37.5" customHeight="1">
      <c r="A55" s="44" t="inlineStr">
        <is>
          <t>SYS_REQ_050</t>
        </is>
      </c>
      <c r="B55" s="45" t="inlineStr">
        <is>
          <t>Added Baseline</t>
        </is>
      </c>
      <c r="C55" s="46" t="inlineStr">
        <is>
          <t>Gateway는 System/Network Health와 Fault State를 관리·전파하고, 영향을 받는 ECU는 실제 Local Fail-safe를 수행해야 한다.</t>
        </is>
      </c>
      <c r="D55" s="46" t="inlineStr">
        <is>
          <t>Responsibility and E2E fault test</t>
        </is>
      </c>
      <c r="E55" s="47" t="inlineStr">
        <is>
          <t>[D07]</t>
        </is>
      </c>
      <c r="F55" s="47" t="inlineStr">
        <is>
          <t>Section 3.1</t>
        </is>
      </c>
      <c r="G55" s="46" t="inlineStr">
        <is>
          <t>SF_12 Fault Detection &amp; Recovery Management; SF_13 Fail-safe Control; SF_14 Fault / Health Notification</t>
        </is>
      </c>
      <c r="H55" s="46" t="inlineStr">
        <is>
          <t>SE_03 Gateway ECU; affected ECU(s) per fault; SE_04 Cluster ECU; SE_07 PC Diagnostic Tool</t>
        </is>
      </c>
      <c r="I55" s="46" t="inlineStr">
        <is>
          <t>N/A — Fault 책임 패턴 요구사항; 실제 Local action은 Fault별 영향 ECU에서 수행</t>
        </is>
      </c>
      <c r="J55" s="46" t="inlineStr">
        <is>
          <t>Fault_Status / Gateway_Status; Local Fail-safe action은 Fault별 영향 ECU 책임</t>
        </is>
      </c>
      <c r="K55" s="46" t="inlineStr">
        <is>
          <t>SCN-05~SCN-08</t>
        </is>
      </c>
      <c r="L55" s="47" t="inlineStr">
        <is>
          <t>D-07 confirmed</t>
        </is>
      </c>
      <c r="M55" s="47" t="inlineStr">
        <is>
          <t>Draft</t>
        </is>
      </c>
      <c r="N55" s="46" t="inlineStr">
        <is>
          <t>V0.3: D-07 책임경계에 맞춰 특정 ECU 열거를 제거. Gateway=Health/Fault 관리·전파, 실제 Local fail-safe=영향 ECU 책임.</t>
        </is>
      </c>
    </row>
    <row r="56" ht="31" customHeight="1">
      <c r="A56" s="44" t="inlineStr">
        <is>
          <t>SYS_REQ_051</t>
        </is>
      </c>
      <c r="B56" s="45" t="inlineStr">
        <is>
          <t>Added Baseline</t>
        </is>
      </c>
      <c r="C56" s="46" t="inlineStr">
        <is>
          <t>Motor ECU는 Gateway의 별도 Fail-safe 명령을 기다리지 않고 VCU_Command의 age/valid/alive를 직접 감시하여 Local Fail-safe를 수행해야 한다.</t>
        </is>
      </c>
      <c r="D56" s="46" t="inlineStr">
        <is>
          <t>Motor local monitor test</t>
        </is>
      </c>
      <c r="E56" s="47" t="inlineStr">
        <is>
          <t>[D07]</t>
        </is>
      </c>
      <c r="F56" s="47" t="inlineStr">
        <is>
          <t>Section 3.1</t>
        </is>
      </c>
      <c r="G56" s="46" t="inlineStr">
        <is>
          <t>SF_11 Network Health Monitoring; SF_13 Fail-safe Control</t>
        </is>
      </c>
      <c r="H56" s="46" t="inlineStr">
        <is>
          <t>SE_02 Motor ECU</t>
        </is>
      </c>
      <c r="I56" s="46" t="inlineStr">
        <is>
          <t>N/A — Virtual Motor 기준 Local monitoring/action; 물리 Driver 의존 금지</t>
        </is>
      </c>
      <c r="J56" s="46" t="inlineStr">
        <is>
          <t>VCU_Command age/valid/alive</t>
        </is>
      </c>
      <c r="K56" s="46" t="inlineStr">
        <is>
          <t>SCN-05</t>
        </is>
      </c>
      <c r="L56" s="47" t="inlineStr">
        <is>
          <t>D-07 confirmed</t>
        </is>
      </c>
      <c r="M56" s="47" t="inlineStr">
        <is>
          <t>Draft</t>
        </is>
      </c>
      <c r="N56" s="46" t="inlineStr">
        <is>
          <t>V0.3: Architecture Baseline의 age/valid/alive 표현 유지. Motor가 Gateway 명령 없이 직접 감시.</t>
        </is>
      </c>
    </row>
    <row r="57" ht="37.5" customHeight="1">
      <c r="A57" s="44" t="inlineStr">
        <is>
          <t>SYS_REQ_052</t>
        </is>
      </c>
      <c r="B57" s="45" t="inlineStr">
        <is>
          <t>Added Baseline</t>
        </is>
      </c>
      <c r="C57" s="46" t="inlineStr">
        <is>
          <t>Gateway는 각 Fault를 ACTIVE/CLEARED로 독립 관리하고, Representative System State를 FAIL_SAFE &gt; OFFLINE &gt; DEGRADED &gt; NORMAL 순으로 계산해야 한다.</t>
        </is>
      </c>
      <c r="D57" s="46" t="inlineStr">
        <is>
          <t>Multi-fault state test</t>
        </is>
      </c>
      <c r="E57" s="47" t="inlineStr">
        <is>
          <t>[D07]</t>
        </is>
      </c>
      <c r="F57" s="47" t="inlineStr">
        <is>
          <t>Section 3.1</t>
        </is>
      </c>
      <c r="G57" s="46" t="inlineStr">
        <is>
          <t>SF_12 Fault Detection &amp; Recovery Management; SF_14 Fault / Health Notification</t>
        </is>
      </c>
      <c r="H57" s="46" t="inlineStr">
        <is>
          <t>SE_03 Gateway ECU</t>
        </is>
      </c>
      <c r="I57" s="46" t="inlineStr">
        <is>
          <t>N/A — Gateway state-management logic</t>
        </is>
      </c>
      <c r="J57" s="46" t="inlineStr">
        <is>
          <t>Fault_Status; Representative System State</t>
        </is>
      </c>
      <c r="K57" s="46" t="inlineStr">
        <is>
          <t>SCN-07; SCN-08</t>
        </is>
      </c>
      <c r="L57" s="47" t="inlineStr">
        <is>
          <t>D-07 confirmed</t>
        </is>
      </c>
      <c r="M57" s="47" t="inlineStr">
        <is>
          <t>Draft</t>
        </is>
      </c>
      <c r="N57" s="46" t="inlineStr">
        <is>
          <t>원본 사양서 문구를 기준으로 작성</t>
        </is>
      </c>
    </row>
    <row r="58" ht="31" customHeight="1">
      <c r="A58" s="44" t="inlineStr">
        <is>
          <t>SYS_REQ_053</t>
        </is>
      </c>
      <c r="B58" s="45" t="inlineStr">
        <is>
          <t>Added Baseline</t>
        </is>
      </c>
      <c r="C58" s="46" t="inlineStr">
        <is>
          <t>VCU timeout, Door recovery, Alive recovery는 정상 조건을 3회 연속 확인한 후 복구해야 한다. QUEUE_DROP은 Queue full 해소, 추가 Drop 없음, QueueUsage &lt; 80% 조건을 HealthTask에서 3회 연속 확인한 후 CLEARED로 복구해야 한다.</t>
        </is>
      </c>
      <c r="D58" s="46" t="inlineStr">
        <is>
          <t>Recovery counter/log + Queue recovery threshold test</t>
        </is>
      </c>
      <c r="E58" s="47" t="inlineStr">
        <is>
          <t>[D07][TEAM]</t>
        </is>
      </c>
      <c r="F58" s="47" t="inlineStr">
        <is>
          <t>Section 3.1</t>
        </is>
      </c>
      <c r="G58" s="46" t="inlineStr">
        <is>
          <t>SF_12 Fault Detection &amp; Recovery Management</t>
        </is>
      </c>
      <c r="H58" s="46" t="inlineStr">
        <is>
          <t>SE_03 Gateway ECU</t>
        </is>
      </c>
      <c r="I58" s="46" t="inlineStr">
        <is>
          <t>N/A — Gateway recovery policy</t>
        </is>
      </c>
      <c r="J58" s="46" t="inlineStr">
        <is>
          <t>RecoveryState; QueueUsage; Queue drop counter/log</t>
        </is>
      </c>
      <c r="K58" s="46" t="inlineStr">
        <is>
          <t>SCN-08</t>
        </is>
      </c>
      <c r="L58" s="47" t="inlineStr">
        <is>
          <t>Frozen Team Recovery Rule / Gateway + Test 리뷰 필요</t>
        </is>
      </c>
      <c r="M58" s="51" t="inlineStr">
        <is>
          <t>Frozen</t>
        </is>
      </c>
      <c r="N58" s="46" t="inlineStr">
        <is>
          <t>V0.4 Freeze: QueueUsage &lt; 80% + 추가 drop 없음 + 3 consecutive HealthTask evaluations. 80%는 Handbook 값이 아닌 Team Decision.</t>
        </is>
      </c>
    </row>
    <row r="59" ht="31" customHeight="1">
      <c r="A59" s="44" t="inlineStr">
        <is>
          <t>SYS_REQ_054</t>
        </is>
      </c>
      <c r="B59" s="45" t="inlineStr">
        <is>
          <t>Added Baseline</t>
        </is>
      </c>
      <c r="C59" s="46" t="inlineStr">
        <is>
          <t>QUEUE_DROP은 DEGRADED로 관리하며, Drop count만으로 FAIL_SAFE로 전환하지 않아야 한다.</t>
        </is>
      </c>
      <c r="D59" s="46" t="inlineStr">
        <is>
          <t>Queue drop injection</t>
        </is>
      </c>
      <c r="E59" s="47" t="inlineStr">
        <is>
          <t>[D07]</t>
        </is>
      </c>
      <c r="F59" s="47" t="inlineStr">
        <is>
          <t>Section 3.1</t>
        </is>
      </c>
      <c r="G59" s="46" t="inlineStr">
        <is>
          <t>SF_12 Fault Detection &amp; Recovery Management</t>
        </is>
      </c>
      <c r="H59" s="46" t="inlineStr">
        <is>
          <t>SE_03 Gateway ECU</t>
        </is>
      </c>
      <c r="I59" s="46" t="inlineStr">
        <is>
          <t>N/A — Gateway queue-management logic</t>
        </is>
      </c>
      <c r="J59" s="46" t="inlineStr">
        <is>
          <t>QUEUE_DROP / Gateway_Status / log</t>
        </is>
      </c>
      <c r="K59" s="46" t="inlineStr">
        <is>
          <t>SCN-07</t>
        </is>
      </c>
      <c r="L59" s="47" t="inlineStr">
        <is>
          <t>D-07 confirmed</t>
        </is>
      </c>
      <c r="M59" s="47" t="inlineStr">
        <is>
          <t>Draft</t>
        </is>
      </c>
      <c r="N59" s="46" t="inlineStr">
        <is>
          <t>원본 사양서 문구를 기준으로 작성</t>
        </is>
      </c>
    </row>
    <row r="60" ht="31" customHeight="1">
      <c r="A60" s="44" t="inlineStr">
        <is>
          <t>SYS_REQ_055</t>
        </is>
      </c>
      <c r="B60" s="45" t="inlineStr">
        <is>
          <t>Added Baseline</t>
        </is>
      </c>
      <c r="C60" s="46" t="inlineStr">
        <is>
          <t>30 ms Critical VCU timeout은 100 ms Health polling에만 의존하지 않고 deadline/event 감시 경로로 처리해야 한다.</t>
        </is>
      </c>
      <c r="D60" s="46" t="inlineStr">
        <is>
          <t>Deadline/event evidence</t>
        </is>
      </c>
      <c r="E60" s="47" t="inlineStr">
        <is>
          <t>[D07]</t>
        </is>
      </c>
      <c r="F60" s="47" t="inlineStr">
        <is>
          <t>Section 3.1</t>
        </is>
      </c>
      <c r="G60" s="46" t="inlineStr">
        <is>
          <t>SF_11 Network Health Monitoring; SF_12 Fault Detection &amp; Recovery Management</t>
        </is>
      </c>
      <c r="H60" s="46" t="inlineStr">
        <is>
          <t>SE_03 Gateway ECU</t>
        </is>
      </c>
      <c r="I60" s="46" t="inlineStr">
        <is>
          <t>N/A — Gateway deadline/event monitoring logic</t>
        </is>
      </c>
      <c r="J60" s="46" t="inlineStr">
        <is>
          <t>VCU timeout deadline/event path</t>
        </is>
      </c>
      <c r="K60" s="46" t="inlineStr">
        <is>
          <t>SCN-05</t>
        </is>
      </c>
      <c r="L60" s="47" t="inlineStr">
        <is>
          <t>D-07 confirmed</t>
        </is>
      </c>
      <c r="M60" s="47" t="inlineStr">
        <is>
          <t>Draft</t>
        </is>
      </c>
      <c r="N60" s="46" t="inlineStr">
        <is>
          <t>V0.3: Critical timeout deadline/event 경로의 주 책임을 Gateway로 정렬.</t>
        </is>
      </c>
    </row>
    <row r="61" ht="50" customHeight="1">
      <c r="A61" s="44" t="inlineStr">
        <is>
          <t>SYS_REQ_056</t>
        </is>
      </c>
      <c r="B61" s="45" t="inlineStr">
        <is>
          <t>Added Baseline</t>
        </is>
      </c>
      <c r="C61" s="46" t="inlineStr">
        <is>
          <t>Fault 기능의 완료는 Detection -&gt; State -&gt; Action -&gt; Propagation -&gt; Recovery 전체 흐름과 Cluster/PC 외부 전파 증거를 포함해야 한다.</t>
        </is>
      </c>
      <c r="D61" s="46" t="inlineStr">
        <is>
          <t>M4 fault DoD</t>
        </is>
      </c>
      <c r="E61" s="47" t="inlineStr">
        <is>
          <t>[HB][D07]</t>
        </is>
      </c>
      <c r="F61" s="47" t="inlineStr">
        <is>
          <t>Section 3.1</t>
        </is>
      </c>
      <c r="G61" s="46" t="inlineStr">
        <is>
          <t>SF_12 Fault Detection &amp; Recovery Management; SF_14 Fault / Health Notification; SF_18 Automated Test Execution</t>
        </is>
      </c>
      <c r="H61" s="46" t="inlineStr">
        <is>
          <t>SE_03 Gateway ECU; SE_04 Cluster ECU; SE_07 PC Diagnostic Tool</t>
        </is>
      </c>
      <c r="I61" s="46" t="inlineStr">
        <is>
          <t>N/A — end-to-end fault flow; physical allocation is indirect</t>
        </is>
      </c>
      <c r="J61" s="46" t="inlineStr">
        <is>
          <t>Fault_Status / Gateway_Status / Cluster / PC propagation</t>
        </is>
      </c>
      <c r="K61" s="46" t="inlineStr">
        <is>
          <t>SCN-05; SCN-06; SCN-07; SCN-08</t>
        </is>
      </c>
      <c r="L61" s="47" t="inlineStr">
        <is>
          <t>D-07 confirmed</t>
        </is>
      </c>
      <c r="M61" s="47" t="inlineStr">
        <is>
          <t>Draft</t>
        </is>
      </c>
      <c r="N61" s="46" t="inlineStr">
        <is>
          <t>원본 사양서 문구를 기준으로 작성</t>
        </is>
      </c>
    </row>
    <row r="62" ht="31" customHeight="1">
      <c r="A62" s="44" t="inlineStr">
        <is>
          <t>SYS_REQ_057</t>
        </is>
      </c>
      <c r="B62" s="45" t="inlineStr">
        <is>
          <t>Added Baseline</t>
        </is>
      </c>
      <c r="C62" s="46" t="inlineStr">
        <is>
          <t>Window_Status는 100 ms expected period를 가지며 2 cycle 연속 no response 시 WINDOW_ECU_OFFLINE 및 OFFLINE으로 판정해야 한다. 정상 Window_Status Response와 정상 WindowAlive를 3회 연속 확인하면 Fault를 CLEARED로 복구해야 한다.</t>
        </is>
      </c>
      <c r="D62" s="46" t="inlineStr">
        <is>
          <t>2-cycle no-response injection + 3-response recovery test</t>
        </is>
      </c>
      <c r="E62" s="47" t="inlineStr">
        <is>
          <t>[TEAM]</t>
        </is>
      </c>
      <c r="F62" s="47" t="inlineStr">
        <is>
          <t>Section 3.1</t>
        </is>
      </c>
      <c r="G62" s="46" t="inlineStr">
        <is>
          <t>SF_12 Fault Detection &amp; Recovery Management; SF_19 Window Control</t>
        </is>
      </c>
      <c r="H62" s="46" t="inlineStr">
        <is>
          <t>SE_03 Gateway ECU; SE_08 Window ECU</t>
        </is>
      </c>
      <c r="I62" s="46" t="inlineStr">
        <is>
          <t>N/A — Window offline/fault policy</t>
        </is>
      </c>
      <c r="J62" s="46" t="inlineStr">
        <is>
          <t>Window_Status PID 0x15 / 100 ms; 2-cycle no response → WINDOW_ECU_OFFLINE/OFFLINE; Body_Status.WindowStatus=INVALID; recovery = valid Window_Status + WindowAlive ×3</t>
        </is>
      </c>
      <c r="K62" s="46" t="inlineStr">
        <is>
          <t>SCN-09; SCN-10</t>
        </is>
      </c>
      <c r="L62" s="47" t="inlineStr">
        <is>
          <t>Frozen Team Decision / LIN Interface 변경 시 상대 담당자 리뷰 필요</t>
        </is>
      </c>
      <c r="M62" s="51" t="inlineStr">
        <is>
          <t>Frozen</t>
        </is>
      </c>
      <c r="N62" s="46" t="inlineStr">
        <is>
          <t>V0.4 Freeze: Door의 3-cycle을 복사하지 않고 Window는 2-cycle offline, 정상 응답+Alive 3회 복구로 별도 확정.</t>
        </is>
      </c>
    </row>
    <row r="63" ht="37.5" customHeight="1">
      <c r="A63" s="44" t="inlineStr">
        <is>
          <t>SYS_REQ_058</t>
        </is>
      </c>
      <c r="B63" s="45" t="inlineStr">
        <is>
          <t>Added Baseline</t>
        </is>
      </c>
      <c r="C63" s="46" t="inlineStr">
        <is>
          <t>Fault_Status와 SystemState의 Signal 변경은 Jira → 기준 산출물(요구사항/메시지 정의서) 갱신 → 상대 담당자 리뷰 필요 → DBC/LDF/Schedule → Firmware/Tool/Test → Evidence 흐름을 따라야 한다.</t>
        </is>
      </c>
      <c r="D63" s="46" t="inlineStr">
        <is>
          <t>Change-control record + Fault_Status encode/decode + event propagation test</t>
        </is>
      </c>
      <c r="E63" s="47" t="inlineStr">
        <is>
          <t>[D07][TEAM]</t>
        </is>
      </c>
      <c r="F63" s="47" t="inlineStr">
        <is>
          <t>Section 3.1</t>
        </is>
      </c>
      <c r="G63" s="46" t="inlineStr">
        <is>
          <t>SF_12 Fault Detection &amp; Recovery Management; SF_16 Communication Logging; SF_18 Automated Test Execution</t>
        </is>
      </c>
      <c r="H63" s="46" t="inlineStr">
        <is>
          <t>SE_03 Gateway ECU; SE_07 PC Diagnostic Tool</t>
        </is>
      </c>
      <c r="I63" s="46" t="inlineStr">
        <is>
          <t>N/A — change-control artifact; linked interface allocations are managed in Interface/PA artifacts</t>
        </is>
      </c>
      <c r="J63" s="46" t="inlineStr">
        <is>
          <t>Fault_Status 0x310 Event: FaultCode[7:0], ECUOffline[11:8], RecoveryState[12], SystemState[14:13], bit15 Reserved; ACTIVE↔CLEARED 전이당 1 Fault Event; Representative SystemState는 Fault_Status.SystemState에 포함하고 Gateway_Status에는 두지 않음</t>
        </is>
      </c>
      <c r="K63" s="46" t="inlineStr">
        <is>
          <t>SCN-07; SCN-08</t>
        </is>
      </c>
      <c r="L63" s="47" t="inlineStr">
        <is>
          <t>Frozen Team Interface Decision / CAN Interface 변경 시 상대 담당자 리뷰 필요</t>
        </is>
      </c>
      <c r="M63" s="51" t="inlineStr">
        <is>
          <t>Frozen</t>
        </is>
      </c>
      <c r="N63" s="46" t="inlineStr">
        <is>
          <t>V0.5: OPN-01/02 해결 상태 유지. Matrix는 참고용이며 변경관리는 Jira→02/05 기준 산출물→리뷰→DBC/LDF/FW/Tool/Test→Evidence 순으로 수행.</t>
        </is>
      </c>
    </row>
    <row r="64" ht="37.5" customHeight="1">
      <c r="A64" s="44" t="inlineStr">
        <is>
          <t>SYS_REQ_059</t>
        </is>
      </c>
      <c r="B64" s="45" t="inlineStr">
        <is>
          <t>Added Baseline</t>
        </is>
      </c>
      <c r="C64" s="46" t="inlineStr">
        <is>
          <t>Window ECU는 유효한 Window_Command의 수신 상태를 자체 감시하고, 하위 Window SW 설계에서 정의한 Local Command Timeout을 초과하여 미수신될 경우 Gateway의 별도 Fail-safe 명령을 기다리지 않고 Window Motor를 STOP 상태로 전환해야 한다.</t>
        </is>
      </c>
      <c r="D64" s="46" t="inlineStr">
        <is>
          <t>Window_Command 송신 중단 Fault Injection → 설정된 Local Command Timeout 만료 후 Window Motor STOP 확인 + 하위 Window SW timeout parameter trace</t>
        </is>
      </c>
      <c r="E64" s="47" t="inlineStr">
        <is>
          <t>[TEAM]</t>
        </is>
      </c>
      <c r="F64" s="47" t="inlineStr">
        <is>
          <t>Message Definition v0.4 / POL-009</t>
        </is>
      </c>
      <c r="G64" s="46" t="inlineStr">
        <is>
          <t>SF_13 Fail-safe Control; SF_19 Window Control</t>
        </is>
      </c>
      <c r="H64" s="46" t="inlineStr">
        <is>
          <t>SE_08 Window ECU</t>
        </is>
      </c>
      <c r="I64" s="46" t="inlineStr">
        <is>
          <t>PD_08A Window H-Bridge; PD_08B Window DC Gear Motor</t>
        </is>
      </c>
      <c r="J64" s="46" t="inlineStr">
        <is>
          <t>Window_Command PID 0x14 / 100 ms; Window ECU local command freshness monitor</t>
        </is>
      </c>
      <c r="K64" s="46" t="inlineStr">
        <is>
          <t>Window command-loss local safe-stop test</t>
        </is>
      </c>
      <c r="L64" s="47" t="inlineStr">
        <is>
          <t>Frozen Team Decision / Window SW 상세 timeout parameter 리뷰 필요; LIN Interface 변경 시 상대 담당자 리뷰 필요</t>
        </is>
      </c>
      <c r="M64" s="51" t="inlineStr">
        <is>
          <t>Frozen</t>
        </is>
      </c>
      <c r="N64" s="46" t="inlineStr">
        <is>
          <t>Requirement-level 동작은 Freeze. Local Command Timeout의 정량값은 System Requirement에서 임의 생성하지 않고 하위 Window SW 상세 요구사항에서 정의·추적합니다. POL-005 Window_Status Offline과 분리된 Local fail-safe 정책입니다.</t>
        </is>
      </c>
    </row>
  </sheetData>
  <autoFilter ref="A5:N64"/>
  <mergeCells count="3">
    <mergeCell ref="A4:N4"/>
    <mergeCell ref="A2:N2"/>
    <mergeCell ref="A1:N1"/>
  </mergeCells>
  <conditionalFormatting sqref="M6:M63">
    <cfRule type="containsText" priority="1" operator="containsText" dxfId="1" text="Needs review"/>
    <cfRule type="containsText" priority="2" operator="containsText" dxfId="0" text="Verified"/>
    <cfRule type="containsText" priority="4" operator="containsText" dxfId="6" text="Frozen"/>
  </conditionalFormatting>
  <conditionalFormatting sqref="L6:L63">
    <cfRule type="containsText" priority="3" operator="containsText" dxfId="1" text="OPEN"/>
  </conditionalFormatting>
  <dataValidations count="1">
    <dataValidation sqref="M6:M63" showDropDown="0" showInputMessage="0" showErrorMessage="0" allowBlank="0" type="list">
      <formula1>"Draft,Needs review,Frozen,Reviewed,Verified,Rejected"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4"/>
  <cols>
    <col width="16" customWidth="1" min="1" max="1"/>
    <col width="58" customWidth="1" min="2" max="2"/>
    <col width="34" customWidth="1" min="3" max="4"/>
    <col width="36" customWidth="1" min="5" max="5"/>
    <col width="42" customWidth="1" min="6" max="6"/>
    <col width="28" customWidth="1" min="7" max="7"/>
    <col width="28" customWidth="1" min="8" max="8"/>
    <col width="18" customWidth="1" min="9" max="9"/>
    <col width="54" customWidth="1" min="10" max="10"/>
  </cols>
  <sheetData>
    <row r="1" ht="19" customHeight="1">
      <c r="A1" s="29" t="inlineStr">
        <is>
          <t>Traceability Matrix V0.5 — Matrix Reference-Only + Window Local Timeout Trace</t>
        </is>
      </c>
    </row>
    <row r="2">
      <c r="A2" s="27" t="inlineStr">
        <is>
          <t>Trace chain: SYS_REQ → SF → SE/PD → Exchange/Interface → SCN/Evidence. Frozen decision rows are mapped as traceable; only actual TBD/OPEN remains Open/TBD.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</row>
    <row r="5" ht="32" customHeight="1">
      <c r="A5" s="7" t="inlineStr">
        <is>
          <t>Requirement ID</t>
        </is>
      </c>
      <c r="B5" s="7" t="inlineStr">
        <is>
          <t>Requirement</t>
        </is>
      </c>
      <c r="C5" s="7" t="inlineStr">
        <is>
          <t>SF / System Function</t>
        </is>
      </c>
      <c r="D5" s="7" t="inlineStr">
        <is>
          <t>SE / Logical Component</t>
        </is>
      </c>
      <c r="E5" s="7" t="inlineStr">
        <is>
          <t>PD / Physical Element</t>
        </is>
      </c>
      <c r="F5" s="7" t="inlineStr">
        <is>
          <t>Exchange / Interface</t>
        </is>
      </c>
      <c r="G5" s="7" t="inlineStr">
        <is>
          <t>Scenario</t>
        </is>
      </c>
      <c r="H5" s="7" t="inlineStr">
        <is>
          <t>Verification Evidence</t>
        </is>
      </c>
      <c r="I5" s="7" t="inlineStr">
        <is>
          <t>Traceability Status</t>
        </is>
      </c>
      <c r="J5" s="7" t="inlineStr">
        <is>
          <t>Review Note</t>
        </is>
      </c>
    </row>
    <row r="6" ht="37.5" customHeight="1">
      <c r="A6" s="44" t="inlineStr">
        <is>
          <t>SYS_REQ_001</t>
        </is>
      </c>
      <c r="B6" s="46" t="inlineStr">
        <is>
          <t>시스템은 차량 제어 ECU 간에 차량 제어 및 상태 정보를 CAN Network를 통해 전달할 수 있어야 한다.</t>
        </is>
      </c>
      <c r="C6" s="46" t="inlineStr">
        <is>
          <t>SF_07 CAN Communication</t>
        </is>
      </c>
      <c r="D6" s="46" t="inlineStr">
        <is>
          <t>SE_01 VCU ECU; SE_02 Motor ECU; SE_03 Gateway ECU; SE_04 Cluster ECU</t>
        </is>
      </c>
      <c r="E6" s="46" t="inlineStr">
        <is>
          <t>N/A — no direct physical element allocation at system-requirement level</t>
        </is>
      </c>
      <c r="F6" s="46" t="inlineStr">
        <is>
          <t>CAN Bus; CE_CAN_VCU_Gateway; CE_CAN_Motor_Gateway; CE_CAN_Gateway_Cluster</t>
        </is>
      </c>
      <c r="G6" s="46" t="inlineStr">
        <is>
          <t>SCN-01</t>
        </is>
      </c>
      <c r="H6" s="46" t="inlineStr">
        <is>
          <t>CAN raw/decode 및 E2E capture</t>
        </is>
      </c>
      <c r="I6" s="46">
        <f>IF(OR(C6="",D6="",F6="",G6="",H6=""),"Needs mapping",IF(OR(Requirements!M6="Needs review",COUNTIF(E6:H6,"*TBD*")&gt;0,COUNTIF(E6:H6,"*OPEN*")&gt;0,COUNTIF(E6:H6,"*pending*")&gt;0),"Open / TBD","Traceable"))</f>
        <v/>
      </c>
      <c r="J6" s="46" t="inlineStr">
        <is>
          <t>Baseline | Draft | 원본 사양서 문구를 기준으로 작성</t>
        </is>
      </c>
    </row>
    <row r="7" ht="31" customHeight="1">
      <c r="A7" s="44" t="inlineStr">
        <is>
          <t>SYS_REQ_002</t>
        </is>
      </c>
      <c r="B7" s="46" t="inlineStr">
        <is>
          <t>시스템은 Gateway ECU를 통해 CAN Network와 LIN Network 사이의 정보를 전달할 수 있어야 한다.</t>
        </is>
      </c>
      <c r="C7" s="46" t="inlineStr">
        <is>
          <t>SF_09 CAN-LIN Signal Routing</t>
        </is>
      </c>
      <c r="D7" s="46" t="inlineStr">
        <is>
          <t>SE_03 Gateway ECU</t>
        </is>
      </c>
      <c r="E7" s="46" t="inlineStr">
        <is>
          <t>N/A — routing behavior; physical allocation is indirect</t>
        </is>
      </c>
      <c r="F7" s="46" t="inlineStr">
        <is>
          <t>CE_CAN_VCU_Gateway; CE_CAN_Motor_Gateway; CE_CAN_Gateway_Cluster; CE_LIN_Gateway_Door; CE_LIN_Gateway_Light; CE_LIN_Gateway_Window</t>
        </is>
      </c>
      <c r="G7" s="46" t="inlineStr">
        <is>
          <t>SCN-03; SCN-04; SCN-09</t>
        </is>
      </c>
      <c r="H7" s="46" t="inlineStr">
        <is>
          <t>CAN-LIN 양방향 routing capture</t>
        </is>
      </c>
      <c r="I7" s="46">
        <f>IF(OR(C7="",D7="",F7="",G7="",H7=""),"Needs mapping",IF(OR(Requirements!M7="Needs review",COUNTIF(E7:H7,"*TBD*")&gt;0,COUNTIF(E7:H7,"*OPEN*")&gt;0,COUNTIF(E7:H7,"*pending*")&gt;0),"Open / TBD","Traceable"))</f>
        <v/>
      </c>
      <c r="J7" s="46" t="inlineStr">
        <is>
          <t>Baseline | Draft | 원본 사양서 문구를 기준으로 작성</t>
        </is>
      </c>
    </row>
    <row r="8" ht="31" customHeight="1">
      <c r="A8" s="44" t="inlineStr">
        <is>
          <t>SYS_REQ_003</t>
        </is>
      </c>
      <c r="B8" s="46" t="inlineStr">
        <is>
          <t>시스템은 운전자 입력을 기반으로 차량 제어 상태와 Motor 제어 요청을 생성할 수 있어야 한다.</t>
        </is>
      </c>
      <c r="C8" s="46" t="inlineStr">
        <is>
          <t>SF_01 Vehicle Control</t>
        </is>
      </c>
      <c r="D8" s="46" t="inlineStr">
        <is>
          <t>SE_01 VCU ECU</t>
        </is>
      </c>
      <c r="E8" s="46" t="inlineStr">
        <is>
          <t>N/A — control logic requirement</t>
        </is>
      </c>
      <c r="F8" s="46" t="inlineStr">
        <is>
          <t>CAN Bus / VCU_Command</t>
        </is>
      </c>
      <c r="G8" s="46" t="inlineStr">
        <is>
          <t>SCN-01</t>
        </is>
      </c>
      <c r="H8" s="46" t="inlineStr">
        <is>
          <t>VCU state/command test</t>
        </is>
      </c>
      <c r="I8" s="46">
        <f>IF(OR(C8="",D8="",F8="",G8="",H8=""),"Needs mapping",IF(OR(Requirements!M8="Needs review",COUNTIF(E8:H8,"*TBD*")&gt;0,COUNTIF(E8:H8,"*OPEN*")&gt;0,COUNTIF(E8:H8,"*pending*")&gt;0),"Open / TBD","Traceable"))</f>
        <v/>
      </c>
      <c r="J8" s="46" t="inlineStr">
        <is>
          <t>Baseline | Draft | 원본 사양서 문구를 기준으로 작성</t>
        </is>
      </c>
    </row>
    <row r="9" ht="31" customHeight="1">
      <c r="A9" s="44" t="inlineStr">
        <is>
          <t>SYS_REQ_004</t>
        </is>
      </c>
      <c r="B9" s="46" t="inlineStr">
        <is>
          <t>시스템은 Motor 제어 요청에 따라 Virtual Motor 상태를 생성하고 이를 시스템에 제공할 수 있어야 한다.</t>
        </is>
      </c>
      <c r="C9" s="46" t="inlineStr">
        <is>
          <t>SF_02 Virtual Motor Control</t>
        </is>
      </c>
      <c r="D9" s="46" t="inlineStr">
        <is>
          <t>SE_02 Motor ECU</t>
        </is>
      </c>
      <c r="E9" s="46" t="inlineStr">
        <is>
          <t>N/A — virtual model requirement; physical demonstrator is covered separately</t>
        </is>
      </c>
      <c r="F9" s="46" t="inlineStr">
        <is>
          <t>CAN Bus / Motor_Status; CE_CAN_Motor_Gateway</t>
        </is>
      </c>
      <c r="G9" s="46" t="inlineStr">
        <is>
          <t>SCN-01; SCN-02</t>
        </is>
      </c>
      <c r="H9" s="46" t="inlineStr">
        <is>
          <t>TorqueRequest -&gt; RPM -&gt; Motor_Status</t>
        </is>
      </c>
      <c r="I9" s="46">
        <f>IF(OR(C9="",D9="",F9="",G9="",H9=""),"Needs mapping",IF(OR(Requirements!M9="Needs review",COUNTIF(E9:H9,"*TBD*")&gt;0,COUNTIF(E9:H9,"*OPEN*")&gt;0,COUNTIF(E9:H9,"*pending*")&gt;0),"Open / TBD","Traceable"))</f>
        <v/>
      </c>
      <c r="J9" s="46" t="inlineStr">
        <is>
          <t>Baseline | Draft | 원본 사양서 문구를 기준으로 작성</t>
        </is>
      </c>
    </row>
    <row r="10" ht="31" customHeight="1">
      <c r="A10" s="44" t="inlineStr">
        <is>
          <t>SYS_REQ_005</t>
        </is>
      </c>
      <c r="B10" s="46" t="inlineStr">
        <is>
          <t>시스템은 LIN Network를 통해 Door ECU를 제어하고 Door 상태를 수집할 수 있어야 한다.</t>
        </is>
      </c>
      <c r="C10" s="46" t="inlineStr">
        <is>
          <t>SF_03 Door Control; SF_08 LIN Communication</t>
        </is>
      </c>
      <c r="D10" s="46" t="inlineStr">
        <is>
          <t>SE_03 Gateway ECU; SE_05 Door ECU</t>
        </is>
      </c>
      <c r="E10" s="46" t="inlineStr">
        <is>
          <t>N/A — Door control behavior; PD allocation is covered by device requirements</t>
        </is>
      </c>
      <c r="F10" s="46" t="inlineStr">
        <is>
          <t>CE_LIN_Gateway_Door; Door_Command; Door_Status</t>
        </is>
      </c>
      <c r="G10" s="46" t="inlineStr">
        <is>
          <t>SCN-04; SCN-06</t>
        </is>
      </c>
      <c r="H10" s="46" t="inlineStr">
        <is>
          <t>Door command/status LIN capture</t>
        </is>
      </c>
      <c r="I10" s="46">
        <f>IF(OR(C10="",D10="",F10="",G10="",H10=""),"Needs mapping",IF(OR(Requirements!M10="Needs review",COUNTIF(E10:H10,"*TBD*")&gt;0,COUNTIF(E10:H10,"*OPEN*")&gt;0,COUNTIF(E10:H10,"*pending*")&gt;0),"Open / TBD","Traceable"))</f>
        <v/>
      </c>
      <c r="J10" s="46" t="inlineStr">
        <is>
          <t>Baseline | Draft | 원본 사양서 문구를 기준으로 작성</t>
        </is>
      </c>
    </row>
    <row r="11" ht="31" customHeight="1">
      <c r="A11" s="44" t="inlineStr">
        <is>
          <t>SYS_REQ_006</t>
        </is>
      </c>
      <c r="B11" s="46" t="inlineStr">
        <is>
          <t>시스템은 LIN Network를 통해 Light ECU를 제어하고 Light 상태를 수집할 수 있어야 한다.</t>
        </is>
      </c>
      <c r="C11" s="46" t="inlineStr">
        <is>
          <t>SF_04 Light Control; SF_08 LIN Communication</t>
        </is>
      </c>
      <c r="D11" s="46" t="inlineStr">
        <is>
          <t>SE_03 Gateway ECU; SE_06 Light ECU</t>
        </is>
      </c>
      <c r="E11" s="46" t="inlineStr">
        <is>
          <t>N/A — Light control behavior; PD allocation is covered by device requirements</t>
        </is>
      </c>
      <c r="F11" s="46" t="inlineStr">
        <is>
          <t>CE_LIN_Gateway_Light; Light_Command; Light_Status</t>
        </is>
      </c>
      <c r="G11" s="46" t="inlineStr">
        <is>
          <t>SCN-03</t>
        </is>
      </c>
      <c r="H11" s="46" t="inlineStr">
        <is>
          <t>Light command/status and output</t>
        </is>
      </c>
      <c r="I11" s="46">
        <f>IF(OR(C11="",D11="",F11="",G11="",H11=""),"Needs mapping",IF(OR(Requirements!M11="Needs review",COUNTIF(E11:H11,"*TBD*")&gt;0,COUNTIF(E11:H11,"*OPEN*")&gt;0,COUNTIF(E11:H11,"*pending*")&gt;0),"Open / TBD","Traceable"))</f>
        <v/>
      </c>
      <c r="J11" s="46" t="inlineStr">
        <is>
          <t>Baseline | Draft | 원본 사양서 문구를 기준으로 작성</t>
        </is>
      </c>
    </row>
    <row r="12" ht="31" customHeight="1">
      <c r="A12" s="44" t="inlineStr">
        <is>
          <t>SYS_REQ_007</t>
        </is>
      </c>
      <c r="B12" s="46" t="inlineStr">
        <is>
          <t>시스템은 차량, Motor, Body 상태를 Cluster를 통해 표시할 수 있어야 한다.</t>
        </is>
      </c>
      <c r="C12" s="46" t="inlineStr">
        <is>
          <t>SF_06 Vehicle / Body Status Display</t>
        </is>
      </c>
      <c r="D12" s="46" t="inlineStr">
        <is>
          <t>SE_04 Cluster ECU</t>
        </is>
      </c>
      <c r="E12" s="46" t="inlineStr">
        <is>
          <t>N/A — display function; display hardware is covered by SYS_REQ_049</t>
        </is>
      </c>
      <c r="F12" s="46" t="inlineStr">
        <is>
          <t>CE_CAN_Gateway_Cluster; Vehicle_Status; Body_Status; Fault_Status</t>
        </is>
      </c>
      <c r="G12" s="46" t="inlineStr">
        <is>
          <t>SCN-01; SCN-03; SCN-04; SCN-07; SCN-09</t>
        </is>
      </c>
      <c r="H12" s="46" t="inlineStr">
        <is>
          <t>Cluster display evidence</t>
        </is>
      </c>
      <c r="I12" s="46">
        <f>IF(OR(C12="",D12="",F12="",G12="",H12=""),"Needs mapping",IF(OR(Requirements!M12="Needs review",COUNTIF(E12:H12,"*TBD*")&gt;0,COUNTIF(E12:H12,"*OPEN*")&gt;0,COUNTIF(E12:H12,"*pending*")&gt;0),"Open / TBD","Traceable"))</f>
        <v/>
      </c>
      <c r="J12" s="46" t="inlineStr">
        <is>
          <t>Baseline | Draft | 원본 사양서 문구를 기준으로 작성</t>
        </is>
      </c>
    </row>
    <row r="13" ht="31" customHeight="1">
      <c r="A13" s="44" t="inlineStr">
        <is>
          <t>SYS_REQ_008</t>
        </is>
      </c>
      <c r="B13" s="46" t="inlineStr">
        <is>
          <t>시스템은 CAN과 LIN 사이에서 Signal의 의미를 유지하면서 필요한 정보를 Routing할 수 있어야 한다.</t>
        </is>
      </c>
      <c r="C13" s="46" t="inlineStr">
        <is>
          <t>SF_09 CAN-LIN Signal Routing</t>
        </is>
      </c>
      <c r="D13" s="46" t="inlineStr">
        <is>
          <t>SE_03 Gateway ECU</t>
        </is>
      </c>
      <c r="E13" s="46" t="inlineStr">
        <is>
          <t>N/A — routing behavior; physical allocation is indirect</t>
        </is>
      </c>
      <c r="F13" s="46" t="inlineStr">
        <is>
          <t>CAN↔LIN routing exchanges; CE_CAN_VCU_Gateway; CE_LIN_Gateway_Door/Light/Window; CE_CAN_Gateway_Cluster</t>
        </is>
      </c>
      <c r="G13" s="46" t="inlineStr">
        <is>
          <t>SCN-03; SCN-04; SCN-09</t>
        </is>
      </c>
      <c r="H13" s="46" t="inlineStr">
        <is>
          <t>Routing table and decoded value</t>
        </is>
      </c>
      <c r="I13" s="46">
        <f>IF(OR(C13="",D13="",F13="",G13="",H13=""),"Needs mapping",IF(OR(Requirements!M13="Needs review",COUNTIF(E13:H13,"*TBD*")&gt;0,COUNTIF(E13:H13,"*OPEN*")&gt;0,COUNTIF(E13:H13,"*pending*")&gt;0),"Open / TBD","Traceable"))</f>
        <v/>
      </c>
      <c r="J13" s="46" t="inlineStr">
        <is>
          <t>Baseline | Draft | 원본 사양서 문구를 기준으로 작성</t>
        </is>
      </c>
    </row>
    <row r="14" ht="31" customHeight="1">
      <c r="A14" s="44" t="inlineStr">
        <is>
          <t>SYS_REQ_009</t>
        </is>
      </c>
      <c r="B14" s="46" t="inlineStr">
        <is>
          <t>CAN Network는 500 kbps로 동작해야 한다.</t>
        </is>
      </c>
      <c r="C14" s="46" t="inlineStr">
        <is>
          <t>SF_07 CAN Communication</t>
        </is>
      </c>
      <c r="D14" s="46" t="inlineStr">
        <is>
          <t>SE_01 VCU ECU; SE_02 Motor ECU; SE_03 Gateway ECU; SE_04 Cluster ECU</t>
        </is>
      </c>
      <c r="E14" s="46" t="inlineStr">
        <is>
          <t>CAN Bus; VCU/Motor/Gateway/Cluster physical nodes (PA)</t>
        </is>
      </c>
      <c r="F14" s="46" t="inlineStr">
        <is>
          <t>CAN Bus / 500 kbps</t>
        </is>
      </c>
      <c r="G14" s="46" t="inlineStr">
        <is>
          <t>SCN-01</t>
        </is>
      </c>
      <c r="H14" s="46" t="inlineStr">
        <is>
          <t>CAN configuration and capture</t>
        </is>
      </c>
      <c r="I14" s="46">
        <f>IF(OR(C14="",D14="",F14="",G14="",H14=""),"Needs mapping",IF(OR(Requirements!M14="Needs review",COUNTIF(E14:H14,"*TBD*")&gt;0,COUNTIF(E14:H14,"*OPEN*")&gt;0,COUNTIF(E14:H14,"*pending*")&gt;0),"Open / TBD","Traceable"))</f>
        <v/>
      </c>
      <c r="J14" s="46" t="inlineStr">
        <is>
          <t>Baseline | Draft | 원본 사양서 문구를 기준으로 작성</t>
        </is>
      </c>
    </row>
    <row r="15" ht="31" customHeight="1">
      <c r="A15" s="44" t="inlineStr">
        <is>
          <t>SYS_REQ_010</t>
        </is>
      </c>
      <c r="B15" s="46" t="inlineStr">
        <is>
          <t>LIN Network는 19.2 kbps로 동작해야 한다.</t>
        </is>
      </c>
      <c r="C15" s="46" t="inlineStr">
        <is>
          <t>SF_08 LIN Communication</t>
        </is>
      </c>
      <c r="D15" s="46" t="inlineStr">
        <is>
          <t>SE_03 Gateway ECU; SE_05 Door ECU; SE_06 Light ECU; SE_08 Window ECU</t>
        </is>
      </c>
      <c r="E15" s="46" t="inlineStr">
        <is>
          <t>LIN Bus; Gateway LIN Master Interface; Door/Light/Window physical nodes (PA)</t>
        </is>
      </c>
      <c r="F15" s="46" t="inlineStr">
        <is>
          <t>LIN Bus / 19.2 kbps</t>
        </is>
      </c>
      <c r="G15" s="46" t="inlineStr">
        <is>
          <t>SCN-03; SCN-04; SCN-06; SCN-09</t>
        </is>
      </c>
      <c r="H15" s="46" t="inlineStr">
        <is>
          <t>LIN waveform and timing</t>
        </is>
      </c>
      <c r="I15" s="46">
        <f>IF(OR(C15="",D15="",F15="",G15="",H15=""),"Needs mapping",IF(OR(Requirements!M15="Needs review",COUNTIF(E15:H15,"*TBD*")&gt;0,COUNTIF(E15:H15,"*OPEN*")&gt;0,COUNTIF(E15:H15,"*pending*")&gt;0),"Open / TBD","Traceable"))</f>
        <v/>
      </c>
      <c r="J15" s="46" t="inlineStr">
        <is>
          <t>Baseline | Draft | 원본 사양서 문구를 기준으로 작성</t>
        </is>
      </c>
    </row>
    <row r="16" ht="31" customHeight="1">
      <c r="A16" s="44" t="inlineStr">
        <is>
          <t>SYS_REQ_011</t>
        </is>
      </c>
      <c r="B16" s="46" t="inlineStr">
        <is>
          <t>CAN Network에는 VCU ECU, Motor ECU, Gateway ECU, Cluster ECU가 참여해야 한다.</t>
        </is>
      </c>
      <c r="C16" s="46" t="inlineStr">
        <is>
          <t>SF_07 CAN Communication</t>
        </is>
      </c>
      <c r="D16" s="46" t="inlineStr">
        <is>
          <t>SE_01 VCU ECU; SE_02 Motor ECU; SE_03 Gateway ECU; SE_04 Cluster ECU</t>
        </is>
      </c>
      <c r="E16" s="46" t="inlineStr">
        <is>
          <t>CAN Bus; VCU/Motor/Gateway/Cluster physical nodes (PA)</t>
        </is>
      </c>
      <c r="F16" s="46" t="inlineStr">
        <is>
          <t>CAN Bus / node topology</t>
        </is>
      </c>
      <c r="G16" s="46" t="inlineStr">
        <is>
          <t>SCN-01</t>
        </is>
      </c>
      <c r="H16" s="46" t="inlineStr">
        <is>
          <t>CAN topology and node evidence</t>
        </is>
      </c>
      <c r="I16" s="46">
        <f>IF(OR(C16="",D16="",F16="",G16="",H16=""),"Needs mapping",IF(OR(Requirements!M16="Needs review",COUNTIF(E16:H16,"*TBD*")&gt;0,COUNTIF(E16:H16,"*OPEN*")&gt;0,COUNTIF(E16:H16,"*pending*")&gt;0),"Open / TBD","Traceable"))</f>
        <v/>
      </c>
      <c r="J16" s="46" t="inlineStr">
        <is>
          <t>Baseline | Draft | 원본 사양서 문구를 기준으로 작성</t>
        </is>
      </c>
    </row>
    <row r="17" ht="31" customHeight="1">
      <c r="A17" s="44" t="inlineStr">
        <is>
          <t>SYS_REQ_012</t>
        </is>
      </c>
      <c r="B17" s="46" t="inlineStr">
        <is>
          <t>Gateway ECU는 LIN Master로 동작하고 Door ECU, Light ECU, Window ECU는 LIN Slave로 동작해야 한다.</t>
        </is>
      </c>
      <c r="C17" s="46" t="inlineStr">
        <is>
          <t>SF_08 LIN Communication</t>
        </is>
      </c>
      <c r="D17" s="46" t="inlineStr">
        <is>
          <t>SE_03 Gateway ECU; SE_05 Door ECU; SE_06 Light ECU; SE_08 Window ECU</t>
        </is>
      </c>
      <c r="E17" s="46" t="inlineStr">
        <is>
          <t>LIN Bus; Gateway/Door/Light/Window physical nodes (PA)</t>
        </is>
      </c>
      <c r="F17" s="46" t="inlineStr">
        <is>
          <t>LIN Bus; CE_LIN_Gateway_Door; CE_LIN_Gateway_Light; CE_LIN_Gateway_Window</t>
        </is>
      </c>
      <c r="G17" s="46" t="inlineStr">
        <is>
          <t>SCN-03; SCN-04; SCN-06; SCN-09</t>
        </is>
      </c>
      <c r="H17" s="46" t="inlineStr">
        <is>
          <t>LIN topology and response capture</t>
        </is>
      </c>
      <c r="I17" s="46">
        <f>IF(OR(C17="",D17="",F17="",G17="",H17=""),"Needs mapping",IF(OR(Requirements!M17="Needs review",COUNTIF(E17:H17,"*TBD*")&gt;0,COUNTIF(E17:H17,"*OPEN*")&gt;0,COUNTIF(E17:H17,"*pending*")&gt;0),"Open / TBD","Traceable"))</f>
        <v/>
      </c>
      <c r="J17" s="46" t="inlineStr">
        <is>
          <t>Team baseline | Draft | V0.3: SYS-ARCH-SPEC-001 v1.0 Baseline 문구 복원. 세부 설명은 Allocation/Interface/Review 항목으로 분리.</t>
        </is>
      </c>
    </row>
    <row r="18" ht="31" customHeight="1">
      <c r="A18" s="44" t="inlineStr">
        <is>
          <t>SYS_REQ_013</t>
        </is>
      </c>
      <c r="B18" s="46" t="inlineStr">
        <is>
          <t>LIN Master는 정의된 LIN Schedule에 따라 LIN Frame을 송수신해야 한다.</t>
        </is>
      </c>
      <c r="C18" s="46" t="inlineStr">
        <is>
          <t>SF_08 LIN Communication; SF_10 Cross-Network Timing / Rate Adaptation</t>
        </is>
      </c>
      <c r="D18" s="46" t="inlineStr">
        <is>
          <t>SE_03 Gateway ECU</t>
        </is>
      </c>
      <c r="E18" s="46" t="inlineStr">
        <is>
          <t>N/A — Schedule Table is an interface artifact; device allocation is indirect</t>
        </is>
      </c>
      <c r="F18" s="46" t="inlineStr">
        <is>
          <t>LIN Schedule; LDF는 팀 선택 산출물이며 세부 Slot/Frame은 Interface Freeze에서 확정</t>
        </is>
      </c>
      <c r="G18" s="46" t="inlineStr">
        <is>
          <t>SCN-03; SCN-04; SCN-09</t>
        </is>
      </c>
      <c r="H18" s="46" t="inlineStr">
        <is>
          <t>Schedule table and PulseView</t>
        </is>
      </c>
      <c r="I18" s="46">
        <f>IF(OR(C18="",D18="",F18="",G18="",H18=""),"Needs mapping",IF(OR(Requirements!M18="Needs review",COUNTIF(E18:H18,"*TBD*")&gt;0,COUNTIF(E18:H18,"*OPEN*")&gt;0,COUNTIF(E18:H18,"*pending*")&gt;0),"Open / TBD","Traceable"))</f>
        <v/>
      </c>
      <c r="J18" s="46" t="inlineStr">
        <is>
          <t>Baseline | Draft | V0.3: Baseline 문구 복원. LDF는 팀 선택 산출물이며 Handbook 필수 산출물은 아님. Schedule 상세는 Interface Freeze에서 확정.</t>
        </is>
      </c>
    </row>
    <row r="19" ht="31" customHeight="1">
      <c r="A19" s="44" t="inlineStr">
        <is>
          <t>SYS_REQ_014</t>
        </is>
      </c>
      <c r="B19" s="46" t="inlineStr">
        <is>
          <t>Gateway ECU는 CAN Node와 LIN Master 기능을 동시에 수행해야 한다.</t>
        </is>
      </c>
      <c r="C19" s="46" t="inlineStr">
        <is>
          <t>SF_07 CAN Communication; SF_08 LIN Communication</t>
        </is>
      </c>
      <c r="D19" s="46" t="inlineStr">
        <is>
          <t>SE_03 Gateway ECU</t>
        </is>
      </c>
      <c r="E19" s="46" t="inlineStr">
        <is>
          <t>Gateway ECU; CAN Interface; LIN Master Interface</t>
        </is>
      </c>
      <c r="F19" s="46" t="inlineStr">
        <is>
          <t>CAN Bus; LIN Bus; Gateway CAN Interface; Gateway LIN Master Interface</t>
        </is>
      </c>
      <c r="G19" s="46" t="inlineStr">
        <is>
          <t>SCN-01; SCN-03; SCN-04; SCN-09</t>
        </is>
      </c>
      <c r="H19" s="46" t="inlineStr">
        <is>
          <t>Gateway CAN/LIN bring-up</t>
        </is>
      </c>
      <c r="I19" s="46">
        <f>IF(OR(C19="",D19="",F19="",G19="",H19=""),"Needs mapping",IF(OR(Requirements!M19="Needs review",COUNTIF(E19:H19,"*TBD*")&gt;0,COUNTIF(E19:H19,"*OPEN*")&gt;0,COUNTIF(E19:H19,"*pending*")&gt;0),"Open / TBD","Traceable"))</f>
        <v/>
      </c>
      <c r="J19" s="46" t="inlineStr">
        <is>
          <t>Baseline | Draft | 원본 사양서 문구를 기준으로 작성</t>
        </is>
      </c>
    </row>
    <row r="20" ht="31" customHeight="1">
      <c r="A20" s="44" t="inlineStr">
        <is>
          <t>SYS_REQ_015</t>
        </is>
      </c>
      <c r="B20" s="46" t="inlineStr">
        <is>
          <t>Gateway ECU는 CAN에서 수신한 정보를 정의된 Routing 규칙에 따라 LIN 대상 Signal에 매핑 및 재구성하여 전달할 수 있어야 한다.</t>
        </is>
      </c>
      <c r="C20" s="46" t="inlineStr">
        <is>
          <t>SF_09 CAN-LIN Signal Routing</t>
        </is>
      </c>
      <c r="D20" s="46" t="inlineStr">
        <is>
          <t>SE_03 Gateway ECU</t>
        </is>
      </c>
      <c r="E20" s="46" t="inlineStr">
        <is>
          <t>N/A — routing logic; physical allocation is indirect</t>
        </is>
      </c>
      <c r="F20" s="46" t="inlineStr">
        <is>
          <t>CE_CAN_VCU_Gateway -&gt; Gateway Routing -&gt; CE_LIN_Gateway_Door/Light/Window</t>
        </is>
      </c>
      <c r="G20" s="46" t="inlineStr">
        <is>
          <t>SCN-03; SCN-04; SCN-09</t>
        </is>
      </c>
      <c r="H20" s="46" t="inlineStr">
        <is>
          <t>CAN -&gt; LIN E2E</t>
        </is>
      </c>
      <c r="I20" s="46">
        <f>IF(OR(C20="",D20="",F20="",G20="",H20=""),"Needs mapping",IF(OR(Requirements!M20="Needs review",COUNTIF(E20:H20,"*TBD*")&gt;0,COUNTIF(E20:H20,"*OPEN*")&gt;0,COUNTIF(E20:H20,"*pending*")&gt;0),"Open / TBD","Traceable"))</f>
        <v/>
      </c>
      <c r="J20" s="46" t="inlineStr">
        <is>
          <t>Baseline | Draft | V0.3: SYS-ARCH-SPEC-001 v1.0 Baseline 문구 복원. 세부 설명은 Allocation/Interface/Review 항목으로 분리.</t>
        </is>
      </c>
    </row>
    <row r="21" ht="31" customHeight="1">
      <c r="A21" s="44" t="inlineStr">
        <is>
          <t>SYS_REQ_016</t>
        </is>
      </c>
      <c r="B21" s="46" t="inlineStr">
        <is>
          <t>Gateway ECU는 LIN에서 수신한 정보를 정의된 Routing 규칙에 따라 CAN 대상 Signal에 매핑 및 재구성하여 전달할 수 있어야 한다.</t>
        </is>
      </c>
      <c r="C21" s="46" t="inlineStr">
        <is>
          <t>SF_09 CAN-LIN Signal Routing</t>
        </is>
      </c>
      <c r="D21" s="46" t="inlineStr">
        <is>
          <t>SE_03 Gateway ECU</t>
        </is>
      </c>
      <c r="E21" s="46" t="inlineStr">
        <is>
          <t>N/A — routing logic; physical allocation is indirect</t>
        </is>
      </c>
      <c r="F21" s="46" t="inlineStr">
        <is>
          <t>CE_LIN_Gateway_Door/Light/Window -&gt; Gateway Routing -&gt; CE_CAN_Gateway_Cluster / CE_CAN_PC_Gateway</t>
        </is>
      </c>
      <c r="G21" s="46" t="inlineStr">
        <is>
          <t>SCN-03; SCN-04; SCN-09</t>
        </is>
      </c>
      <c r="H21" s="46" t="inlineStr">
        <is>
          <t>LIN -&gt; CAN E2E</t>
        </is>
      </c>
      <c r="I21" s="46">
        <f>IF(OR(C21="",D21="",F21="",G21="",H21=""),"Needs mapping",IF(OR(Requirements!M21="Needs review",COUNTIF(E21:H21,"*TBD*")&gt;0,COUNTIF(E21:H21,"*OPEN*")&gt;0,COUNTIF(E21:H21,"*pending*")&gt;0),"Open / TBD","Traceable"))</f>
        <v/>
      </c>
      <c r="J21" s="46" t="inlineStr">
        <is>
          <t>Baseline | Draft | V0.3: SYS-ARCH-SPEC-001 v1.0 Baseline 문구 복원. 세부 설명은 Allocation/Interface/Review 항목으로 분리.</t>
        </is>
      </c>
    </row>
    <row r="22" ht="31" customHeight="1">
      <c r="A22" s="44" t="inlineStr">
        <is>
          <t>SYS_REQ_017</t>
        </is>
      </c>
      <c r="B22" s="46" t="inlineStr">
        <is>
          <t>Gateway ECU는 통신 상태를 감시하고 ECU의 online/offline 상태를 판단할 수 있어야 한다.</t>
        </is>
      </c>
      <c r="C22" s="46" t="inlineStr">
        <is>
          <t>SF_11 Network Health Monitoring</t>
        </is>
      </c>
      <c r="D22" s="46" t="inlineStr">
        <is>
          <t>SE_03 Gateway ECU</t>
        </is>
      </c>
      <c r="E22" s="46" t="inlineStr">
        <is>
          <t>N/A — monitoring logic; physical allocation is indirect</t>
        </is>
      </c>
      <c r="F22" s="46" t="inlineStr">
        <is>
          <t>Health observations; Fault_Status</t>
        </is>
      </c>
      <c r="G22" s="46" t="inlineStr">
        <is>
          <t>SCN-05; SCN-06; SCN-07</t>
        </is>
      </c>
      <c r="H22" s="46" t="inlineStr">
        <is>
          <t>Health log and fault test</t>
        </is>
      </c>
      <c r="I22" s="46">
        <f>IF(OR(C22="",D22="",F22="",G22="",H22=""),"Needs mapping",IF(OR(Requirements!M22="Needs review",COUNTIF(E22:H22,"*TBD*")&gt;0,COUNTIF(E22:H22,"*OPEN*")&gt;0,COUNTIF(E22:H22,"*pending*")&gt;0),"Open / TBD","Traceable"))</f>
        <v/>
      </c>
      <c r="J22" s="46" t="inlineStr">
        <is>
          <t>Baseline | Draft | 원본 사양서 문구를 기준으로 작성</t>
        </is>
      </c>
    </row>
    <row r="23" ht="37.5" customHeight="1">
      <c r="A23" s="44" t="inlineStr">
        <is>
          <t>SYS_REQ_018</t>
        </is>
      </c>
      <c r="B23" s="46" t="inlineStr">
        <is>
          <t>Gateway ECU는 통신 Fault를 감지하고 해당 Fault 상태를 시스템의 다른 요소에 전달할 수 있어야 한다.</t>
        </is>
      </c>
      <c r="C23" s="46" t="inlineStr">
        <is>
          <t>SF_12 Fault Detection &amp; Recovery Management; SF_14 Fault / Health Notification</t>
        </is>
      </c>
      <c r="D23" s="46" t="inlineStr">
        <is>
          <t>SE_03 Gateway ECU; SE_04 Cluster ECU; SE_07 PC Diagnostic Tool</t>
        </is>
      </c>
      <c r="E23" s="46" t="inlineStr">
        <is>
          <t>N/A — fault management/notification logic; physical allocation is indirect</t>
        </is>
      </c>
      <c r="F23" s="46" t="inlineStr">
        <is>
          <t>Fault_Status; Gateway_Status</t>
        </is>
      </c>
      <c r="G23" s="46" t="inlineStr">
        <is>
          <t>SCN-07</t>
        </is>
      </c>
      <c r="H23" s="46" t="inlineStr">
        <is>
          <t>Fault propagation E2E</t>
        </is>
      </c>
      <c r="I23" s="46">
        <f>IF(OR(C23="",D23="",F23="",G23="",H23=""),"Needs mapping",IF(OR(Requirements!M23="Needs review",COUNTIF(E23:H23,"*TBD*")&gt;0,COUNTIF(E23:H23,"*OPEN*")&gt;0,COUNTIF(E23:H23,"*pending*")&gt;0),"Open / TBD","Traceable"))</f>
        <v/>
      </c>
      <c r="J23" s="46" t="inlineStr">
        <is>
          <t>D-07 confirmed | Draft | 원본 사양서 문구를 기준으로 작성</t>
        </is>
      </c>
    </row>
    <row r="24" ht="31" customHeight="1">
      <c r="A24" s="44" t="inlineStr">
        <is>
          <t>SYS_REQ_019</t>
        </is>
      </c>
      <c r="B24" s="46" t="inlineStr">
        <is>
          <t>시스템은 CAN Message timeout을 감지할 수 있어야 한다.</t>
        </is>
      </c>
      <c r="C24" s="46" t="inlineStr">
        <is>
          <t>SF_11 Network Health Monitoring; SF_12 Fault Detection &amp; Recovery Management</t>
        </is>
      </c>
      <c r="D24" s="46" t="inlineStr">
        <is>
          <t>SE_03 Gateway ECU</t>
        </is>
      </c>
      <c r="E24" s="46" t="inlineStr">
        <is>
          <t>N/A — timeout detection logic</t>
        </is>
      </c>
      <c r="F24" s="46" t="inlineStr">
        <is>
          <t>Health observations</t>
        </is>
      </c>
      <c r="G24" s="46" t="inlineStr">
        <is>
          <t>SCN-05</t>
        </is>
      </c>
      <c r="H24" s="46" t="inlineStr">
        <is>
          <t>Timeout injection</t>
        </is>
      </c>
      <c r="I24" s="46">
        <f>IF(OR(C24="",D24="",F24="",G24="",H24=""),"Needs mapping",IF(OR(Requirements!M24="Needs review",COUNTIF(E24:H24,"*TBD*")&gt;0,COUNTIF(E24:H24,"*OPEN*")&gt;0,COUNTIF(E24:H24,"*pending*")&gt;0),"Open / TBD","Traceable"))</f>
        <v/>
      </c>
      <c r="J24" s="46" t="inlineStr">
        <is>
          <t>Baseline | Draft | 원본 사양서 문구를 기준으로 작성</t>
        </is>
      </c>
    </row>
    <row r="25" ht="31" customHeight="1">
      <c r="A25" s="44" t="inlineStr">
        <is>
          <t>SYS_REQ_020</t>
        </is>
      </c>
      <c r="B25" s="46" t="inlineStr">
        <is>
          <t>VCU_Command는 정상 상태에서 10 ms expected period를 가지며, 마지막 정상 수신 후 30 ms를 초과하면 VCU timeout으로 판단해야 한다.</t>
        </is>
      </c>
      <c r="C25" s="46" t="inlineStr">
        <is>
          <t>SF_11 Network Health Monitoring; SF_12 Fault Detection &amp; Recovery Management</t>
        </is>
      </c>
      <c r="D25" s="46" t="inlineStr">
        <is>
          <t>SE_01 VCU ECU; SE_02 Motor ECU; SE_03 Gateway ECU</t>
        </is>
      </c>
      <c r="E25" s="46" t="inlineStr">
        <is>
          <t>N/A — message timing requirement</t>
        </is>
      </c>
      <c r="F25" s="46" t="inlineStr">
        <is>
          <t>VCU_Command</t>
        </is>
      </c>
      <c r="G25" s="46" t="inlineStr">
        <is>
          <t>SCN-05</t>
        </is>
      </c>
      <c r="H25" s="46" t="inlineStr">
        <is>
          <t>VCU timeout threshold test</t>
        </is>
      </c>
      <c r="I25" s="46">
        <f>IF(OR(C25="",D25="",F25="",G25="",H25=""),"Needs mapping",IF(OR(Requirements!M25="Needs review",COUNTIF(E25:H25,"*TBD*")&gt;0,COUNTIF(E25:H25,"*OPEN*")&gt;0,COUNTIF(E25:H25,"*pending*")&gt;0),"Open / TBD","Traceable"))</f>
        <v/>
      </c>
      <c r="J25" s="46" t="inlineStr">
        <is>
          <t>Baseline | Draft | 원본 사양서 문구를 기준으로 작성</t>
        </is>
      </c>
    </row>
    <row r="26" ht="37.5" customHeight="1">
      <c r="A26" s="44" t="inlineStr">
        <is>
          <t>SYS_REQ_021</t>
        </is>
      </c>
      <c r="B26" s="46" t="inlineStr">
        <is>
          <t>Door_Status는 100 ms Frame이며, 3 cycle 연속 no response 발생 시 Door ECU를 offline으로 판단해야 한다.</t>
        </is>
      </c>
      <c r="C26" s="46" t="inlineStr">
        <is>
          <t>SF_08 LIN Communication; SF_11 Network Health Monitoring; SF_12 Fault Detection &amp; Recovery Management</t>
        </is>
      </c>
      <c r="D26" s="46" t="inlineStr">
        <is>
          <t>SE_03 Gateway ECU; SE_05 Door ECU</t>
        </is>
      </c>
      <c r="E26" s="46" t="inlineStr">
        <is>
          <t>Door ECU; LIN Bus (PA)</t>
        </is>
      </c>
      <c r="F26" s="46" t="inlineStr">
        <is>
          <t>Door_Status</t>
        </is>
      </c>
      <c r="G26" s="46" t="inlineStr">
        <is>
          <t>SCN-06</t>
        </is>
      </c>
      <c r="H26" s="46" t="inlineStr">
        <is>
          <t>3-cycle LIN no-response test</t>
        </is>
      </c>
      <c r="I26" s="46">
        <f>IF(OR(C26="",D26="",F26="",G26="",H26=""),"Needs mapping",IF(OR(Requirements!M26="Needs review",COUNTIF(E26:H26,"*TBD*")&gt;0,COUNTIF(E26:H26,"*OPEN*")&gt;0,COUNTIF(E26:H26,"*pending*")&gt;0),"Open / TBD","Traceable"))</f>
        <v/>
      </c>
      <c r="J26" s="46" t="inlineStr">
        <is>
          <t>Baseline | Draft | V0.3: SYS-ARCH-SPEC-001 v1.0 Baseline 문구 복원. 세부 설명은 Allocation/Interface/Review 항목으로 분리.</t>
        </is>
      </c>
    </row>
    <row r="27" ht="31" customHeight="1">
      <c r="A27" s="44" t="inlineStr">
        <is>
          <t>SYS_REQ_022</t>
        </is>
      </c>
      <c r="B27" s="46" t="inlineStr">
        <is>
          <t>시스템은 Alive Counter의 불연속을 감지할 수 있어야 한다.</t>
        </is>
      </c>
      <c r="C27" s="46" t="inlineStr">
        <is>
          <t>SF_11 Network Health Monitoring; SF_12 Fault Detection &amp; Recovery Management</t>
        </is>
      </c>
      <c r="D27" s="46" t="inlineStr">
        <is>
          <t>SE_03 Gateway ECU</t>
        </is>
      </c>
      <c r="E27" s="46" t="inlineStr">
        <is>
          <t>N/A — counter monitoring logic</t>
        </is>
      </c>
      <c r="F27" s="46" t="inlineStr">
        <is>
          <t>Alive Counter</t>
        </is>
      </c>
      <c r="G27" s="46" t="inlineStr">
        <is>
          <t>SCN-07; SCN-08</t>
        </is>
      </c>
      <c r="H27" s="46" t="inlineStr">
        <is>
          <t>Wrong/discontinuous counter injection</t>
        </is>
      </c>
      <c r="I27" s="46">
        <f>IF(OR(C27="",D27="",F27="",G27="",H27=""),"Needs mapping",IF(OR(Requirements!M27="Needs review",COUNTIF(E27:H27,"*TBD*")&gt;0,COUNTIF(E27:H27,"*OPEN*")&gt;0,COUNTIF(E27:H27,"*pending*")&gt;0),"Open / TBD","Traceable"))</f>
        <v/>
      </c>
      <c r="J27" s="46" t="inlineStr">
        <is>
          <t>Baseline | Draft | 원본 사양서 문구를 기준으로 작성</t>
        </is>
      </c>
    </row>
    <row r="28" ht="31" customHeight="1">
      <c r="A28" s="44" t="inlineStr">
        <is>
          <t>SYS_REQ_023</t>
        </is>
      </c>
      <c r="B28" s="46" t="inlineStr">
        <is>
          <t>Alive Counter는 0~15 범위에서 순환해야 한다.</t>
        </is>
      </c>
      <c r="C28" s="46" t="inlineStr">
        <is>
          <t>SF_11 Network Health Monitoring</t>
        </is>
      </c>
      <c r="D28" s="46" t="inlineStr">
        <is>
          <t>SE_03 Gateway ECU</t>
        </is>
      </c>
      <c r="E28" s="46" t="inlineStr">
        <is>
          <t>N/A — counter definition</t>
        </is>
      </c>
      <c r="F28" s="46" t="inlineStr">
        <is>
          <t>Alive Counter</t>
        </is>
      </c>
      <c r="G28" s="46" t="inlineStr">
        <is>
          <t>N/A — dedicated Alive Counter 0..15 wrap test</t>
        </is>
      </c>
      <c r="H28" s="46" t="inlineStr">
        <is>
          <t>0..15 wrap test</t>
        </is>
      </c>
      <c r="I28" s="46">
        <f>IF(OR(C28="",D28="",F28="",G28="",H28=""),"Needs mapping",IF(OR(Requirements!M28="Needs review",COUNTIF(E28:H28,"*TBD*")&gt;0,COUNTIF(E28:H28,"*OPEN*")&gt;0,COUNTIF(E28:H28,"*pending*")&gt;0),"Open / TBD","Traceable"))</f>
        <v/>
      </c>
      <c r="J28" s="46" t="inlineStr">
        <is>
          <t>Baseline | Draft | 원본 사양서 문구를 기준으로 작성</t>
        </is>
      </c>
    </row>
    <row r="29" ht="31" customHeight="1">
      <c r="A29" s="44" t="inlineStr">
        <is>
          <t>SYS_REQ_024</t>
        </is>
      </c>
      <c r="B29" s="46" t="inlineStr">
        <is>
          <t>VCU 통신 timeout 발생 시 Motor 제어는 TorqueApplied = 0의 fail-safe 상태로 전환되어야 한다.</t>
        </is>
      </c>
      <c r="C29" s="46" t="inlineStr">
        <is>
          <t>SF_13 Fail-safe Control</t>
        </is>
      </c>
      <c r="D29" s="46" t="inlineStr">
        <is>
          <t>SE_02 Motor ECU</t>
        </is>
      </c>
      <c r="E29" s="46" t="inlineStr">
        <is>
          <t>N/A — Virtual Motor 기준 Local Fail-safe 요구사항; 물리 Demonstrator는 SYS_REQ_046에서 별도 검증</t>
        </is>
      </c>
      <c r="F29" s="46" t="inlineStr">
        <is>
          <t>Torque inhibit / safe output</t>
        </is>
      </c>
      <c r="G29" s="46" t="inlineStr">
        <is>
          <t>SCN-05</t>
        </is>
      </c>
      <c r="H29" s="46" t="inlineStr">
        <is>
          <t>Motor local fail-safe evidence</t>
        </is>
      </c>
      <c r="I29" s="46">
        <f>IF(OR(C29="",D29="",F29="",G29="",H29=""),"Needs mapping",IF(OR(Requirements!M29="Needs review",COUNTIF(E29:H29,"*TBD*")&gt;0,COUNTIF(E29:H29,"*OPEN*")&gt;0,COUNTIF(E29:H29,"*pending*")&gt;0),"Open / TBD","Traceable"))</f>
        <v/>
      </c>
      <c r="J29" s="46" t="inlineStr">
        <is>
          <t>D-07 confirmed | Draft | V0.3: Fail-safe 검증을 물리 Motor/H-Bridge에 종속하지 않도록 Virtual Motor 기준 Local action으로 정렬.</t>
        </is>
      </c>
    </row>
    <row r="30" ht="31" customHeight="1">
      <c r="A30" s="44" t="inlineStr">
        <is>
          <t>SYS_REQ_025</t>
        </is>
      </c>
      <c r="B30" s="46" t="inlineStr">
        <is>
          <t>통신 Fault 및 ECU offline 상태는 Cluster와 PC Diagnostic Tool에서 확인할 수 있어야 한다.</t>
        </is>
      </c>
      <c r="C30" s="46" t="inlineStr">
        <is>
          <t>SF_14 Fault / Health Notification</t>
        </is>
      </c>
      <c r="D30" s="46" t="inlineStr">
        <is>
          <t>SE_03 Gateway ECU; SE_04 Cluster ECU; SE_07 PC Diagnostic Tool</t>
        </is>
      </c>
      <c r="E30" s="46" t="inlineStr">
        <is>
          <t>N/A — notification behavior; physical allocation is indirect</t>
        </is>
      </c>
      <c r="F30" s="46" t="inlineStr">
        <is>
          <t>Fault_Status; Gateway_Status</t>
        </is>
      </c>
      <c r="G30" s="46" t="inlineStr">
        <is>
          <t>SCN-05; SCN-06; SCN-07</t>
        </is>
      </c>
      <c r="H30" s="46" t="inlineStr">
        <is>
          <t>Cluster/PC fault display and log</t>
        </is>
      </c>
      <c r="I30" s="46">
        <f>IF(OR(C30="",D30="",F30="",G30="",H30=""),"Needs mapping",IF(OR(Requirements!M30="Needs review",COUNTIF(E30:H30,"*TBD*")&gt;0,COUNTIF(E30:H30,"*OPEN*")&gt;0,COUNTIF(E30:H30,"*pending*")&gt;0),"Open / TBD","Traceable"))</f>
        <v/>
      </c>
      <c r="J30" s="46" t="inlineStr">
        <is>
          <t>Baseline | Draft | 원본 사양서 문구를 기준으로 작성</t>
        </is>
      </c>
    </row>
    <row r="31" ht="31" customHeight="1">
      <c r="A31" s="44" t="inlineStr">
        <is>
          <t>SYS_REQ_026</t>
        </is>
      </c>
      <c r="B31" s="46" t="inlineStr">
        <is>
          <t>시스템은 Fault 원인이 제거되고 정상 통신이 복구되었을 때 정의된 조건에 따라 정상 상태로 복귀할 수 있어야 한다.</t>
        </is>
      </c>
      <c r="C31" s="46" t="inlineStr">
        <is>
          <t>SF_12 Fault Detection &amp; Recovery Management</t>
        </is>
      </c>
      <c r="D31" s="46" t="inlineStr">
        <is>
          <t>SE_03 Gateway ECU</t>
        </is>
      </c>
      <c r="E31" s="46" t="inlineStr">
        <is>
          <t>N/A — recovery management logic; local action allocation is indirect</t>
        </is>
      </c>
      <c r="F31" s="46" t="inlineStr">
        <is>
          <t>Fault state and recovery</t>
        </is>
      </c>
      <c r="G31" s="46" t="inlineStr">
        <is>
          <t>SCN-08</t>
        </is>
      </c>
      <c r="H31" s="46" t="inlineStr">
        <is>
          <t>Recovery sequence and log</t>
        </is>
      </c>
      <c r="I31" s="46">
        <f>IF(OR(C31="",D31="",F31="",G31="",H31=""),"Needs mapping",IF(OR(Requirements!M31="Needs review",COUNTIF(E31:H31,"*TBD*")&gt;0,COUNTIF(E31:H31,"*OPEN*")&gt;0,COUNTIF(E31:H31,"*pending*")&gt;0),"Open / TBD","Traceable"))</f>
        <v/>
      </c>
      <c r="J31" s="46" t="inlineStr">
        <is>
          <t>D-07 confirmed | Draft | 원본 사양서 문구를 기준으로 작성</t>
        </is>
      </c>
    </row>
    <row r="32" ht="31" customHeight="1">
      <c r="A32" s="44" t="inlineStr">
        <is>
          <t>SYS_REQ_027</t>
        </is>
      </c>
      <c r="B32" s="46" t="inlineStr">
        <is>
          <t>PC Diagnostic Tool은 CANable을 통해 CAN 통신 데이터를 송수신할 수 있어야 한다.</t>
        </is>
      </c>
      <c r="C32" s="46" t="inlineStr">
        <is>
          <t>SF_15 Diagnostic Monitoring &amp; Analysis</t>
        </is>
      </c>
      <c r="D32" s="46" t="inlineStr">
        <is>
          <t>SE_07 PC Diagnostic Tool</t>
        </is>
      </c>
      <c r="E32" s="46" t="inlineStr">
        <is>
          <t>CANable external COTS; PL_USB_PC_CANABLE; PL_CAN_CANABLE_BUS</t>
        </is>
      </c>
      <c r="F32" s="46" t="inlineStr">
        <is>
          <t>PL_USB_PC_CANABLE; PL_CAN_CANABLE_BUS; CE_CAN_PC_Gateway</t>
        </is>
      </c>
      <c r="G32" s="46" t="inlineStr">
        <is>
          <t>SCN-07</t>
        </is>
      </c>
      <c r="H32" s="46" t="inlineStr">
        <is>
          <t>python-can/CANable test</t>
        </is>
      </c>
      <c r="I32" s="46">
        <f>IF(OR(C32="",D32="",F32="",G32="",H32=""),"Needs mapping",IF(OR(Requirements!M32="Needs review",COUNTIF(E32:H32,"*TBD*")&gt;0,COUNTIF(E32:H32,"*OPEN*")&gt;0,COUNTIF(E32:H32,"*pending*")&gt;0),"Open / TBD","Traceable"))</f>
        <v/>
      </c>
      <c r="J32" s="46" t="inlineStr">
        <is>
          <t>Baseline | Draft | V0.3: SYS-ARCH-SPEC-001 v1.0 Baseline 문구 복원. 세부 설명은 Allocation/Interface/Review 항목으로 분리.</t>
        </is>
      </c>
    </row>
    <row r="33" ht="31" customHeight="1">
      <c r="A33" s="44" t="inlineStr">
        <is>
          <t>SYS_REQ_028</t>
        </is>
      </c>
      <c r="B33" s="46" t="inlineStr">
        <is>
          <t>PC Diagnostic Tool은 vehicle.dbc를 기준으로 CAN Message와 Signal을 해석할 수 있어야 한다.</t>
        </is>
      </c>
      <c r="C33" s="46" t="inlineStr">
        <is>
          <t>SF_15 Diagnostic Monitoring &amp; Analysis</t>
        </is>
      </c>
      <c r="D33" s="46" t="inlineStr">
        <is>
          <t>SE_07 PC Diagnostic Tool</t>
        </is>
      </c>
      <c r="E33" s="46" t="inlineStr">
        <is>
          <t>N/A — vehicle.dbc is an input artifact for SE_07</t>
        </is>
      </c>
      <c r="F33" s="46" t="inlineStr">
        <is>
          <t>vehicle.dbc input artifact</t>
        </is>
      </c>
      <c r="G33" s="46" t="inlineStr">
        <is>
          <t>SCN-07</t>
        </is>
      </c>
      <c r="H33" s="46" t="inlineStr">
        <is>
          <t>cantools parse/decode</t>
        </is>
      </c>
      <c r="I33" s="46">
        <f>IF(OR(C33="",D33="",F33="",G33="",H33=""),"Needs mapping",IF(OR(Requirements!M33="Needs review",COUNTIF(E33:H33,"*TBD*")&gt;0,COUNTIF(E33:H33,"*OPEN*")&gt;0,COUNTIF(E33:H33,"*pending*")&gt;0),"Open / TBD","Traceable"))</f>
        <v/>
      </c>
      <c r="J33" s="46" t="inlineStr">
        <is>
          <t>Baseline | Draft | 원본 사양서 문구를 기준으로 작성</t>
        </is>
      </c>
    </row>
    <row r="34" ht="31" customHeight="1">
      <c r="A34" s="44" t="inlineStr">
        <is>
          <t>SYS_REQ_029</t>
        </is>
      </c>
      <c r="B34" s="46" t="inlineStr">
        <is>
          <t>PC Diagnostic Tool은 ECU의 상태와 online/offline 상태를 확인할 수 있어야 한다.</t>
        </is>
      </c>
      <c r="C34" s="46" t="inlineStr">
        <is>
          <t>SF_15 Diagnostic Monitoring &amp; Analysis</t>
        </is>
      </c>
      <c r="D34" s="46" t="inlineStr">
        <is>
          <t>SE_07 PC Diagnostic Tool</t>
        </is>
      </c>
      <c r="E34" s="46" t="inlineStr">
        <is>
          <t>N/A — monitoring function runs in SE_07</t>
        </is>
      </c>
      <c r="F34" s="46" t="inlineStr">
        <is>
          <t>CE_CAN_PC_Gateway; Gateway_Status / Fault_Status</t>
        </is>
      </c>
      <c r="G34" s="46" t="inlineStr">
        <is>
          <t>SCN-05; SCN-06; SCN-07</t>
        </is>
      </c>
      <c r="H34" s="46" t="inlineStr">
        <is>
          <t>Health monitor evidence</t>
        </is>
      </c>
      <c r="I34" s="46">
        <f>IF(OR(C34="",D34="",F34="",G34="",H34=""),"Needs mapping",IF(OR(Requirements!M34="Needs review",COUNTIF(E34:H34,"*TBD*")&gt;0,COUNTIF(E34:H34,"*OPEN*")&gt;0,COUNTIF(E34:H34,"*pending*")&gt;0),"Open / TBD","Traceable"))</f>
        <v/>
      </c>
      <c r="J34" s="46" t="inlineStr">
        <is>
          <t>Baseline | Draft | 원본 사양서 문구를 기준으로 작성</t>
        </is>
      </c>
    </row>
    <row r="35" ht="31" customHeight="1">
      <c r="A35" s="44" t="inlineStr">
        <is>
          <t>SYS_REQ_030</t>
        </is>
      </c>
      <c r="B35" s="46" t="inlineStr">
        <is>
          <t>PC Diagnostic Tool은 System Fault 및 Network Health 정보를 확인할 수 있어야 한다.</t>
        </is>
      </c>
      <c r="C35" s="46" t="inlineStr">
        <is>
          <t>SF_14 Fault / Health Notification; SF_15 Diagnostic Monitoring &amp; Analysis</t>
        </is>
      </c>
      <c r="D35" s="46" t="inlineStr">
        <is>
          <t>SE_03 Gateway ECU; SE_04 Cluster ECU; SE_07 PC Diagnostic Tool</t>
        </is>
      </c>
      <c r="E35" s="46" t="inlineStr">
        <is>
          <t>N/A — diagnostic view; source allocation is through Gateway interfaces</t>
        </is>
      </c>
      <c r="F35" s="46" t="inlineStr">
        <is>
          <t>CE_CAN_PC_Gateway; Gateway_Status / Fault_Status</t>
        </is>
      </c>
      <c r="G35" s="46" t="inlineStr">
        <is>
          <t>SCN-05; SCN-06; SCN-07</t>
        </is>
      </c>
      <c r="H35" s="46" t="inlineStr">
        <is>
          <t>Fault/health monitor evidence</t>
        </is>
      </c>
      <c r="I35" s="46">
        <f>IF(OR(C35="",D35="",F35="",G35="",H35=""),"Needs mapping",IF(OR(Requirements!M35="Needs review",COUNTIF(E35:H35,"*TBD*")&gt;0,COUNTIF(E35:H35,"*OPEN*")&gt;0,COUNTIF(E35:H35,"*pending*")&gt;0),"Open / TBD","Traceable"))</f>
        <v/>
      </c>
      <c r="J35" s="46" t="inlineStr">
        <is>
          <t>Baseline | Draft | V0.3: SYS-ARCH-SPEC-001 v1.0 Baseline 문구 복원. 세부 설명은 Allocation/Interface/Review 항목으로 분리.</t>
        </is>
      </c>
    </row>
    <row r="36" ht="31" customHeight="1">
      <c r="A36" s="44" t="inlineStr">
        <is>
          <t>SYS_REQ_031</t>
        </is>
      </c>
      <c r="B36" s="46" t="inlineStr">
        <is>
          <t>PC Diagnostic Tool은 CAN 데이터를 기록할 수 있어야 한다.</t>
        </is>
      </c>
      <c r="C36" s="46" t="inlineStr">
        <is>
          <t>SF_16 Communication Logging</t>
        </is>
      </c>
      <c r="D36" s="46" t="inlineStr">
        <is>
          <t>SE_07 PC Diagnostic Tool</t>
        </is>
      </c>
      <c r="E36" s="46" t="inlineStr">
        <is>
          <t>N/A — logging function runs in SE_07</t>
        </is>
      </c>
      <c r="F36" s="46" t="inlineStr">
        <is>
          <t>PC Diagnostic Tool log output / schema</t>
        </is>
      </c>
      <c r="G36" s="46" t="inlineStr">
        <is>
          <t>SCN-07; SCN-08</t>
        </is>
      </c>
      <c r="H36" s="46" t="inlineStr">
        <is>
          <t>Log file and schema check</t>
        </is>
      </c>
      <c r="I36" s="46">
        <f>IF(OR(C36="",D36="",F36="",G36="",H36=""),"Needs mapping",IF(OR(Requirements!M36="Needs review",COUNTIF(E36:H36,"*TBD*")&gt;0,COUNTIF(E36:H36,"*OPEN*")&gt;0,COUNTIF(E36:H36,"*pending*")&gt;0),"Open / TBD","Traceable"))</f>
        <v/>
      </c>
      <c r="J36" s="46" t="inlineStr">
        <is>
          <t>Baseline | Draft | 원본 사양서 문구를 기준으로 작성</t>
        </is>
      </c>
    </row>
    <row r="37" ht="31" customHeight="1">
      <c r="A37" s="44" t="inlineStr">
        <is>
          <t>SYS_REQ_032</t>
        </is>
      </c>
      <c r="B37" s="46" t="inlineStr">
        <is>
          <t>PC Diagnostic Tool은 Fault Injection을 수행할 수 있어야 한다.</t>
        </is>
      </c>
      <c r="C37" s="46" t="inlineStr">
        <is>
          <t>SF_17 Fault Injection</t>
        </is>
      </c>
      <c r="D37" s="46" t="inlineStr">
        <is>
          <t>SE_07 PC Diagnostic Tool</t>
        </is>
      </c>
      <c r="E37" s="46" t="inlineStr">
        <is>
          <t>N/A — injection control function; target allocation is separate</t>
        </is>
      </c>
      <c r="F37" s="46" t="inlineStr">
        <is>
          <t>Fault injection path — target/path defined per test case</t>
        </is>
      </c>
      <c r="G37" s="46" t="inlineStr">
        <is>
          <t>SCN-05; SCN-06; SCN-07; SCN-08</t>
        </is>
      </c>
      <c r="H37" s="46" t="inlineStr">
        <is>
          <t>Injection fixture execution</t>
        </is>
      </c>
      <c r="I37" s="46">
        <f>IF(OR(C37="",D37="",F37="",G37="",H37=""),"Needs mapping",IF(OR(Requirements!M37="Needs review",COUNTIF(E37:H37,"*TBD*")&gt;0,COUNTIF(E37:H37,"*OPEN*")&gt;0,COUNTIF(E37:H37,"*pending*")&gt;0),"Open / TBD","Traceable"))</f>
        <v/>
      </c>
      <c r="J37" s="46" t="inlineStr">
        <is>
          <t>Baseline | Draft | 원본 사양서 문구를 기준으로 작성</t>
        </is>
      </c>
    </row>
    <row r="38" ht="31" customHeight="1">
      <c r="A38" s="44" t="inlineStr">
        <is>
          <t>SYS_REQ_033</t>
        </is>
      </c>
      <c r="B38" s="46" t="inlineStr">
        <is>
          <t>시스템의 주요 정상 동작 및 Fault 동작은 반복 가능한 테스트 방법으로 검증할 수 있어야 한다.</t>
        </is>
      </c>
      <c r="C38" s="46" t="inlineStr">
        <is>
          <t>SF_18 Automated Test Execution</t>
        </is>
      </c>
      <c r="D38" s="46" t="inlineStr">
        <is>
          <t>SE_07 PC Diagnostic Tool</t>
        </is>
      </c>
      <c r="E38" s="46" t="inlineStr">
        <is>
          <t>N/A — verification capability requirement</t>
        </is>
      </c>
      <c r="F38" s="46" t="inlineStr">
        <is>
          <t>Test harness / evidence path</t>
        </is>
      </c>
      <c r="G38" s="46" t="inlineStr">
        <is>
          <t>SCN-01~SCN-10</t>
        </is>
      </c>
      <c r="H38" s="46" t="inlineStr">
        <is>
          <t>Test plan and repeated result</t>
        </is>
      </c>
      <c r="I38" s="46">
        <f>IF(OR(C38="",D38="",F38="",G38="",H38=""),"Needs mapping",IF(OR(Requirements!M38="Needs review",COUNTIF(E38:H38,"*TBD*")&gt;0,COUNTIF(E38:H38,"*OPEN*")&gt;0,COUNTIF(E38:H38,"*pending*")&gt;0),"Open / TBD","Traceable"))</f>
        <v/>
      </c>
      <c r="J38" s="46" t="inlineStr">
        <is>
          <t>Baseline | Draft | 원본 사양서 문구를 기준으로 작성</t>
        </is>
      </c>
    </row>
    <row r="39" ht="31" customHeight="1">
      <c r="A39" s="44" t="inlineStr">
        <is>
          <t>SYS_REQ_034</t>
        </is>
      </c>
      <c r="B39" s="46" t="inlineStr">
        <is>
          <t>시스템은 pytest 기반 자동화 테스트를 통해 주요 정상/Fault 시나리오를 검증할 수 있어야 한다.</t>
        </is>
      </c>
      <c r="C39" s="46" t="inlineStr">
        <is>
          <t>SF_18 Automated Test Execution</t>
        </is>
      </c>
      <c r="D39" s="46" t="inlineStr">
        <is>
          <t>SE_07 PC Diagnostic Tool</t>
        </is>
      </c>
      <c r="E39" s="46" t="inlineStr">
        <is>
          <t>N/A — pytest execution capability in SE_07</t>
        </is>
      </c>
      <c r="F39" s="46" t="inlineStr">
        <is>
          <t>pytest test harness</t>
        </is>
      </c>
      <c r="G39" s="46" t="inlineStr">
        <is>
          <t>SCN-01~SCN-10</t>
        </is>
      </c>
      <c r="H39" s="46" t="inlineStr">
        <is>
          <t>pytest result</t>
        </is>
      </c>
      <c r="I39" s="46">
        <f>IF(OR(C39="",D39="",F39="",G39="",H39=""),"Needs mapping",IF(OR(Requirements!M39="Needs review",COUNTIF(E39:H39,"*TBD*")&gt;0,COUNTIF(E39:H39,"*OPEN*")&gt;0,COUNTIF(E39:H39,"*pending*")&gt;0),"Open / TBD","Traceable"))</f>
        <v/>
      </c>
      <c r="J39" s="46" t="inlineStr">
        <is>
          <t>Baseline | Draft | 원본 사양서 문구를 기준으로 작성</t>
        </is>
      </c>
    </row>
    <row r="40" ht="31" customHeight="1">
      <c r="A40" s="44" t="inlineStr">
        <is>
          <t>SYS_REQ_035</t>
        </is>
      </c>
      <c r="B40" s="46" t="inlineStr">
        <is>
          <t>CAN/LIN 통신 동작은 실제 Bus 또는 측정 장비의 증적으로 확인할 수 있어야 한다.</t>
        </is>
      </c>
      <c r="C40" s="46" t="inlineStr">
        <is>
          <t>SF_18 Automated Test Execution</t>
        </is>
      </c>
      <c r="D40" s="46" t="inlineStr">
        <is>
          <t>SE_07 PC Diagnostic Tool</t>
        </is>
      </c>
      <c r="E40" s="46" t="inlineStr">
        <is>
          <t>CANable / USB Logic Analyzer + PulseView (external test equipment)</t>
        </is>
      </c>
      <c r="F40" s="46" t="inlineStr">
        <is>
          <t>CANable / PulseView measurement path</t>
        </is>
      </c>
      <c r="G40" s="46" t="inlineStr">
        <is>
          <t>SCN-01~SCN-10</t>
        </is>
      </c>
      <c r="H40" s="46" t="inlineStr">
        <is>
          <t>CANable/PulseView evidence</t>
        </is>
      </c>
      <c r="I40" s="46">
        <f>IF(OR(C40="",D40="",F40="",G40="",H40=""),"Needs mapping",IF(OR(Requirements!M40="Needs review",COUNTIF(E40:H40,"*TBD*")&gt;0,COUNTIF(E40:H40,"*OPEN*")&gt;0,COUNTIF(E40:H40,"*pending*")&gt;0),"Open / TBD","Traceable"))</f>
        <v/>
      </c>
      <c r="J40" s="46" t="inlineStr">
        <is>
          <t>Baseline | Draft | V0.2: External measurement path separated from the PC Diagnostic Tool logical element.</t>
        </is>
      </c>
    </row>
    <row r="41" ht="31" customHeight="1">
      <c r="A41" s="44" t="inlineStr">
        <is>
          <t>SYS_REQ_036</t>
        </is>
      </c>
      <c r="B41" s="46" t="inlineStr">
        <is>
          <t>측정이 필요한 KPI는 실제 측정 결과와 목표값을 구분하여 기록해야 한다.</t>
        </is>
      </c>
      <c r="C41" s="46" t="inlineStr">
        <is>
          <t>SF_18 Automated Test Execution</t>
        </is>
      </c>
      <c r="D41" s="46" t="inlineStr">
        <is>
          <t>SE_07 PC Diagnostic Tool</t>
        </is>
      </c>
      <c r="E41" s="46" t="inlineStr">
        <is>
          <t>N/A — evidence record requirement</t>
        </is>
      </c>
      <c r="F41" s="46" t="inlineStr">
        <is>
          <t>KPI CSV/report output</t>
        </is>
      </c>
      <c r="G41" s="46" t="inlineStr">
        <is>
          <t>SCN-01~SCN-10</t>
        </is>
      </c>
      <c r="H41" s="46" t="inlineStr">
        <is>
          <t>KPI CSV/report</t>
        </is>
      </c>
      <c r="I41" s="46">
        <f>IF(OR(C41="",D41="",F41="",G41="",H41=""),"Needs mapping",IF(OR(Requirements!M41="Needs review",COUNTIF(E41:H41,"*TBD*")&gt;0,COUNTIF(E41:H41,"*OPEN*")&gt;0,COUNTIF(E41:H41,"*pending*")&gt;0),"Open / TBD","Traceable"))</f>
        <v/>
      </c>
      <c r="J41" s="46" t="inlineStr">
        <is>
          <t>Baseline | Draft | 원본 사양서 문구를 기준으로 작성</t>
        </is>
      </c>
    </row>
    <row r="42" ht="31" customHeight="1">
      <c r="A42" s="44" t="inlineStr">
        <is>
          <t>SYS_REQ_037</t>
        </is>
      </c>
      <c r="B42" s="46" t="inlineStr">
        <is>
          <t>Motor ECU의 기준 제어/상태 모델은 Virtual Motor 방식으로 유지해야 하며, 물리 DC Motor Demonstrator는 보조 출력 계층으로 취급해야 한다.</t>
        </is>
      </c>
      <c r="C42" s="46" t="inlineStr">
        <is>
          <t>SF_02 Virtual Motor Control; SF_13 Fail-safe Control</t>
        </is>
      </c>
      <c r="D42" s="46" t="inlineStr">
        <is>
          <t>SE_02 Motor ECU</t>
        </is>
      </c>
      <c r="E42" s="46" t="inlineStr">
        <is>
          <t>PD_02A Motor Driver / H-Bridge; PD_02B DC Motor Demonstrator</t>
        </is>
      </c>
      <c r="F42" s="46" t="inlineStr">
        <is>
          <t>N/A — Virtual Motor / Physical Demonstrator allocation boundary</t>
        </is>
      </c>
      <c r="G42" s="46" t="inlineStr">
        <is>
          <t>SCN-01; SCN-02</t>
        </is>
      </c>
      <c r="H42" s="46" t="inlineStr">
        <is>
          <t>Virtual/physical dual-path trace</t>
        </is>
      </c>
      <c r="I42" s="46">
        <f>IF(OR(C42="",D42="",F42="",G42="",H42=""),"Needs mapping",IF(OR(Requirements!M42="Needs review",COUNTIF(E42:H42,"*TBD*")&gt;0,COUNTIF(E42:H42,"*OPEN*")&gt;0,COUNTIF(E42:H42,"*pending*")&gt;0),"Open / TBD","Traceable"))</f>
        <v/>
      </c>
      <c r="J42" s="46" t="inlineStr">
        <is>
          <t>Team baseline | Draft | 원본 사양서 문구를 기준으로 작성</t>
        </is>
      </c>
    </row>
    <row r="43" ht="31" customHeight="1">
      <c r="A43" s="44" t="inlineStr">
        <is>
          <t>SYS_REQ_038</t>
        </is>
      </c>
      <c r="B43" s="46" t="inlineStr">
        <is>
          <t>실제 차량 장착 및 고전압 전력부 설계는 기본 시스템 개발 범위에 포함하지 않는다.</t>
        </is>
      </c>
      <c r="C43" s="46" t="inlineStr">
        <is>
          <t>Scope constraint</t>
        </is>
      </c>
      <c r="D43" s="46" t="inlineStr">
        <is>
          <t>Scope constraint</t>
        </is>
      </c>
      <c r="E43" s="46" t="inlineStr">
        <is>
          <t>N/A — scope constraint</t>
        </is>
      </c>
      <c r="F43" s="46" t="inlineStr">
        <is>
          <t>N/A — scope constraint</t>
        </is>
      </c>
      <c r="G43" s="46" t="inlineStr">
        <is>
          <t>Scope review</t>
        </is>
      </c>
      <c r="H43" s="46" t="inlineStr">
        <is>
          <t>Scope review</t>
        </is>
      </c>
      <c r="I43" s="46">
        <f>IF(OR(C43="",D43="",F43="",G43="",H43=""),"Needs mapping",IF(OR(Requirements!M43="Needs review",COUNTIF(E43:H43,"*TBD*")&gt;0,COUNTIF(E43:H43,"*OPEN*")&gt;0,COUNTIF(E43:H43,"*pending*")&gt;0),"Open / TBD","Traceable"))</f>
        <v/>
      </c>
      <c r="J43" s="46" t="inlineStr">
        <is>
          <t>Baseline | Draft | 원본 사양서 문구를 기준으로 작성</t>
        </is>
      </c>
    </row>
    <row r="44" ht="31" customHeight="1">
      <c r="A44" s="44" t="inlineStr">
        <is>
          <t>SYS_REQ_039</t>
        </is>
      </c>
      <c r="B44" s="46" t="inlineStr">
        <is>
          <t>양산 수준의 기능안전 인증은 기본 프로젝트 범위에 포함하지 않는다.</t>
        </is>
      </c>
      <c r="C44" s="46" t="inlineStr">
        <is>
          <t>Scope constraint</t>
        </is>
      </c>
      <c r="D44" s="46" t="inlineStr">
        <is>
          <t>Scope constraint</t>
        </is>
      </c>
      <c r="E44" s="46" t="inlineStr">
        <is>
          <t>N/A — scope constraint</t>
        </is>
      </c>
      <c r="F44" s="46" t="inlineStr">
        <is>
          <t>N/A — scope constraint</t>
        </is>
      </c>
      <c r="G44" s="46" t="inlineStr">
        <is>
          <t>Scope review</t>
        </is>
      </c>
      <c r="H44" s="46" t="inlineStr">
        <is>
          <t>Scope review</t>
        </is>
      </c>
      <c r="I44" s="46">
        <f>IF(OR(C44="",D44="",F44="",G44="",H44=""),"Needs mapping",IF(OR(Requirements!M44="Needs review",COUNTIF(E44:H44,"*TBD*")&gt;0,COUNTIF(E44:H44,"*OPEN*")&gt;0,COUNTIF(E44:H44,"*pending*")&gt;0),"Open / TBD","Traceable"))</f>
        <v/>
      </c>
      <c r="J44" s="46" t="inlineStr">
        <is>
          <t>Baseline | Draft | 원본 사양서 문구를 기준으로 작성</t>
        </is>
      </c>
    </row>
    <row r="45" ht="31" customHeight="1">
      <c r="A45" s="44" t="inlineStr">
        <is>
          <t>SYS_REQ_040</t>
        </is>
      </c>
      <c r="B45" s="46" t="inlineStr">
        <is>
          <t>CAN FD, 정식 차량 진단 규격 전체 구현, HIL 연동 등은 기본 요구사항이 아닌 Stretch Goal로 관리한다.</t>
        </is>
      </c>
      <c r="C45" s="46" t="inlineStr">
        <is>
          <t>Scope constraint</t>
        </is>
      </c>
      <c r="D45" s="46" t="inlineStr">
        <is>
          <t>Scope constraint</t>
        </is>
      </c>
      <c r="E45" s="46" t="inlineStr">
        <is>
          <t>N/A — roadmap constraint</t>
        </is>
      </c>
      <c r="F45" s="46" t="inlineStr">
        <is>
          <t>N/A — roadmap / Stretch Goal constraint</t>
        </is>
      </c>
      <c r="G45" s="46" t="inlineStr">
        <is>
          <t>Scope / roadmap review</t>
        </is>
      </c>
      <c r="H45" s="46" t="inlineStr">
        <is>
          <t>Scope/roadmap review</t>
        </is>
      </c>
      <c r="I45" s="46">
        <f>IF(OR(C45="",D45="",F45="",G45="",H45=""),"Needs mapping",IF(OR(Requirements!M45="Needs review",COUNTIF(E45:H45,"*TBD*")&gt;0,COUNTIF(E45:H45,"*OPEN*")&gt;0,COUNTIF(E45:H45,"*pending*")&gt;0),"Open / TBD","Traceable"))</f>
        <v/>
      </c>
      <c r="J45" s="46" t="inlineStr">
        <is>
          <t>Baseline | Draft | 원본 사양서 문구를 기준으로 작성</t>
        </is>
      </c>
    </row>
    <row r="46" ht="31" customHeight="1">
      <c r="A46" s="44" t="inlineStr">
        <is>
          <t>SYS_REQ_041</t>
        </is>
      </c>
      <c r="B46" s="46" t="inlineStr">
        <is>
          <t>Gateway ECU는 CAN Network와 LIN Network의 서로 다른 통신 주기 및 Schedule을 고려하여 정보 전달 시점을 조정할 수 있어야 한다.</t>
        </is>
      </c>
      <c r="C46" s="46" t="inlineStr">
        <is>
          <t>SF_10 Cross-Network Timing / Rate Adaptation</t>
        </is>
      </c>
      <c r="D46" s="46" t="inlineStr">
        <is>
          <t>SE_03 Gateway ECU</t>
        </is>
      </c>
      <c r="E46" s="46" t="inlineStr">
        <is>
          <t>N/A — timing/rate adaptation logic</t>
        </is>
      </c>
      <c r="F46" s="46" t="inlineStr">
        <is>
          <t>CAN/LIN routing + schedule timing; CE_LIN_Gateway_Door/Light/Window; CE_CAN_Gateway_Cluster</t>
        </is>
      </c>
      <c r="G46" s="46" t="inlineStr">
        <is>
          <t>SCN-03; SCN-04; SCN-09</t>
        </is>
      </c>
      <c r="H46" s="46" t="inlineStr">
        <is>
          <t>Rate adaptation and schedule test</t>
        </is>
      </c>
      <c r="I46" s="46">
        <f>IF(OR(C46="",D46="",F46="",G46="",H46=""),"Needs mapping",IF(OR(Requirements!M46="Needs review",COUNTIF(E46:H46,"*TBD*")&gt;0,COUNTIF(E46:H46,"*OPEN*")&gt;0,COUNTIF(E46:H46,"*pending*")&gt;0),"Open / TBD","Traceable"))</f>
        <v/>
      </c>
      <c r="J46" s="46" t="inlineStr">
        <is>
          <t>Baseline | Draft | V0.3: SYS-ARCH-SPEC-001 v1.0 Baseline 문구 복원. 세부 설명은 Allocation/Interface/Review 항목으로 분리.</t>
        </is>
      </c>
    </row>
    <row r="47" ht="31" customHeight="1">
      <c r="A47" s="44" t="inlineStr">
        <is>
          <t>SYS_REQ_042</t>
        </is>
      </c>
      <c r="B47" s="46" t="inlineStr">
        <is>
          <t>Window ECU는 Gateway LIN Master가 관리하는 기본 In-Scope LIN Slave로 포함되어야 한다.</t>
        </is>
      </c>
      <c r="C47" s="46" t="inlineStr">
        <is>
          <t>SF_08 LIN Communication; SF_19 Window Control</t>
        </is>
      </c>
      <c r="D47" s="46" t="inlineStr">
        <is>
          <t>SE_03 Gateway ECU; SE_08 Window ECU</t>
        </is>
      </c>
      <c r="E47" s="46" t="inlineStr">
        <is>
          <t>Window ECU physical node; LIN Bus (PA)</t>
        </is>
      </c>
      <c r="F47" s="46" t="inlineStr">
        <is>
          <t>LIN Bus; CE_LIN_Gateway_Window</t>
        </is>
      </c>
      <c r="G47" s="46" t="inlineStr">
        <is>
          <t>SCN-09</t>
        </is>
      </c>
      <c r="H47" s="46" t="inlineStr">
        <is>
          <t>LA/PA node and LIN topology</t>
        </is>
      </c>
      <c r="I47" s="46">
        <f>IF(OR(C47="",D47="",F47="",G47="",H47=""),"Needs mapping",IF(OR(Requirements!M47="Needs review",COUNTIF(E47:H47,"*TBD*")&gt;0,COUNTIF(E47:H47,"*OPEN*")&gt;0,COUNTIF(E47:H47,"*pending*")&gt;0),"Open / TBD","Traceable"))</f>
        <v/>
      </c>
      <c r="J47" s="46" t="inlineStr">
        <is>
          <t>Team baseline | Draft | 원본 사양서 문구를 기준으로 작성</t>
        </is>
      </c>
    </row>
    <row r="48" ht="31" customHeight="1">
      <c r="A48" s="44" t="inlineStr">
        <is>
          <t>SYS_REQ_043</t>
        </is>
      </c>
      <c r="B48" s="46" t="inlineStr">
        <is>
          <t>Gateway는 Window Command/Status를 정의된 LIN Interface, Schedule 및 Routing 규칙에 포함해야 한다.</t>
        </is>
      </c>
      <c r="C48" s="46" t="inlineStr">
        <is>
          <t>SF_09 CAN-LIN Signal Routing; SF_10 Cross-Network Timing / Rate Adaptation</t>
        </is>
      </c>
      <c r="D48" s="46" t="inlineStr">
        <is>
          <t>SE_03 Gateway ECU; SE_08 Window ECU</t>
        </is>
      </c>
      <c r="E48" s="46" t="inlineStr">
        <is>
          <t>Window ECU; LIN Bus</t>
        </is>
      </c>
      <c r="F48" s="46" t="inlineStr">
        <is>
          <t>CE_LIN_Gateway_Window; Window_Command PID 0x14 / 1 byte / 100 ms / slot 10 ms / Enhanced checksum; Window_Status PID 0x15 / 2 bytes / 100 ms / slot 30 ms / Enhanced checksum; BODY_10ms = 10 ms slot / 100 ms supercycle</t>
        </is>
      </c>
      <c r="G48" s="46" t="inlineStr">
        <is>
          <t>SCN-09</t>
        </is>
      </c>
      <c r="H48" s="46" t="inlineStr">
        <is>
          <t>LIN Interface/Schedule/Routing review + PulseView E2E capture</t>
        </is>
      </c>
      <c r="I48" s="46">
        <f>IF(OR(C48="",D48="",F48="",G48="",H48=""),"Needs mapping",IF(OR(Requirements!M48="Needs review",COUNTIF(E48:H48,"*TBD*")&gt;0,COUNTIF(E48:H48,"*OPEN*")&gt;0,COUNTIF(E48:H48,"*pending*")&gt;0),"Open / TBD","Traceable"))</f>
        <v/>
      </c>
      <c r="J48" s="46" t="inlineStr">
        <is>
          <t>Frozen Team Decision / LIN Interface 변경 시 상대 담당자 리뷰 필요 | Frozen | V0.5: 메시지 정의서 v0.4 FIX Interface 기준. Matrix는 참고용.</t>
        </is>
      </c>
    </row>
    <row r="49" ht="31" customHeight="1">
      <c r="A49" s="44" t="inlineStr">
        <is>
          <t>SYS_REQ_044</t>
        </is>
      </c>
      <c r="B49" s="46" t="inlineStr">
        <is>
          <t>Window ECU는 UP/DOWN 명령을 수행하고 Window 상태를 Gateway로 반환해야 한다.</t>
        </is>
      </c>
      <c r="C49" s="46" t="inlineStr">
        <is>
          <t>SF_19 Window Control</t>
        </is>
      </c>
      <c r="D49" s="46" t="inlineStr">
        <is>
          <t>SE_03 Gateway ECU; SE_08 Window ECU</t>
        </is>
      </c>
      <c r="E49" s="46" t="inlineStr">
        <is>
          <t>Window ECU; physical output structure covered by SYS_REQ_045</t>
        </is>
      </c>
      <c r="F49" s="46" t="inlineStr">
        <is>
          <t>CE_LIN_Gateway_Window; Window_Command / Window_Status</t>
        </is>
      </c>
      <c r="G49" s="46" t="inlineStr">
        <is>
          <t>SCN-09</t>
        </is>
      </c>
      <c r="H49" s="46" t="inlineStr">
        <is>
          <t>Window E2E scenario</t>
        </is>
      </c>
      <c r="I49" s="46">
        <f>IF(OR(C49="",D49="",F49="",G49="",H49=""),"Needs mapping",IF(OR(Requirements!M49="Needs review",COUNTIF(E49:H49,"*TBD*")&gt;0,COUNTIF(E49:H49,"*OPEN*")&gt;0,COUNTIF(E49:H49,"*pending*")&gt;0),"Open / TBD","Traceable"))</f>
        <v/>
      </c>
      <c r="J49" s="46" t="inlineStr">
        <is>
          <t>Team baseline | Draft | 원본 사양서 문구를 기준으로 작성</t>
        </is>
      </c>
    </row>
    <row r="50" ht="37.5" customHeight="1">
      <c r="A50" s="44" t="inlineStr">
        <is>
          <t>SYS_REQ_045</t>
        </is>
      </c>
      <c r="B50" s="46" t="inlineStr">
        <is>
          <t>Window ECU는 H-Bridge, DC Gear Motor, Upper/Lower Limit Feedback을 연결하는 Physical Device 구조를 가져야 한다.</t>
        </is>
      </c>
      <c r="C50" s="46" t="inlineStr">
        <is>
          <t>SF_19 Window Control</t>
        </is>
      </c>
      <c r="D50" s="46" t="inlineStr">
        <is>
          <t>SE_08 Window ECU</t>
        </is>
      </c>
      <c r="E50" s="46" t="inlineStr">
        <is>
          <t>PD_08A Window H-Bridge; PD_08B Window DC Gear Motor; PD_08C Upper Limit Switch; PD_08D Lower Limit Switch</t>
        </is>
      </c>
      <c r="F50" s="46" t="inlineStr">
        <is>
          <t>Window_Command STOP/UP/DOWN; UpperLimit/LowerLimit local feedback; limit active 시 해당 방향 Motor STOP/inhibit</t>
        </is>
      </c>
      <c r="G50" s="46" t="inlineStr">
        <is>
          <t>SCN-09; SCN-10</t>
        </is>
      </c>
      <c r="H50" s="46" t="inlineStr">
        <is>
          <t>PA and hardware evidence</t>
        </is>
      </c>
      <c r="I50" s="46">
        <f>IF(OR(C50="",D50="",F50="",G50="",H50=""),"Needs mapping",IF(OR(Requirements!M50="Needs review",COUNTIF(E50:H50,"*TBD*")&gt;0,COUNTIF(E50:H50,"*OPEN*")&gt;0,COUNTIF(E50:H50,"*pending*")&gt;0),"Open / TBD","Traceable"))</f>
        <v/>
      </c>
      <c r="J50" s="46" t="inlineStr">
        <is>
          <t>Frozen Architecture Structure / HW 전기 사양은 하위 HW/BOM 문서에서 관리 | Frozen | V0.4 Freeze: PD_08A~D 물리 구조와 Local limit-stop 책임을 확정. 전압/전류/PWM/핀 수치는 SYS_REQ Freeze 비차단 항목.</t>
        </is>
      </c>
    </row>
    <row r="51" ht="31" customHeight="1">
      <c r="A51" s="44" t="inlineStr">
        <is>
          <t>SYS_REQ_046</t>
        </is>
      </c>
      <c r="B51" s="46" t="inlineStr">
        <is>
          <t>Motor ECU는 Virtual Motor Model을 유지하면서 Driver/H-Bridge를 통해 DC Motor Demonstrator로 출력할 수 있어야 한다.</t>
        </is>
      </c>
      <c r="C51" s="46" t="inlineStr">
        <is>
          <t>SF_02 Virtual Motor Control; SF_13 Fail-safe Control</t>
        </is>
      </c>
      <c r="D51" s="46" t="inlineStr">
        <is>
          <t>SE_02 Motor ECU</t>
        </is>
      </c>
      <c r="E51" s="46" t="inlineStr">
        <is>
          <t>PD_02A Motor Driver / H-Bridge; PD_02B DC Motor Demonstrator</t>
        </is>
      </c>
      <c r="F51" s="46" t="inlineStr">
        <is>
          <t>Virtual Motor output → PD_02A Driver/H-Bridge → PD_02B DC Motor Demonstrator; Motor_Status software/status baseline 유지</t>
        </is>
      </c>
      <c r="G51" s="46" t="inlineStr">
        <is>
          <t>SCN-02</t>
        </is>
      </c>
      <c r="H51" s="46" t="inlineStr">
        <is>
          <t>Virtual/physical dual-path test</t>
        </is>
      </c>
      <c r="I51" s="46">
        <f>IF(OR(C51="",D51="",F51="",G51="",H51=""),"Needs mapping",IF(OR(Requirements!M51="Needs review",COUNTIF(E51:H51,"*TBD*")&gt;0,COUNTIF(E51:H51,"*OPEN*")&gt;0,COUNTIF(E51:H51,"*pending*")&gt;0),"Open / TBD","Traceable"))</f>
        <v/>
      </c>
      <c r="J51" s="46" t="inlineStr">
        <is>
          <t>Frozen Architecture Structure / HW 전기 사양은 하위 HW/BOM 문서에서 관리 | Frozen | V0.4 Freeze: Virtual Motor Model이 기준 기능이며 DC Motor는 보조 Physical Demonstrator로 확정.</t>
        </is>
      </c>
    </row>
    <row r="52" ht="31" customHeight="1">
      <c r="A52" s="44" t="inlineStr">
        <is>
          <t>SYS_REQ_047</t>
        </is>
      </c>
      <c r="B52" s="46" t="inlineStr">
        <is>
          <t>Door ECU는 Door Lock Actuator를 제어하고 Position/Limit Feedback을 Door Status에 반영할 수 있어야 한다.</t>
        </is>
      </c>
      <c r="C52" s="46" t="inlineStr">
        <is>
          <t>SF_03 Door Control</t>
        </is>
      </c>
      <c r="D52" s="46" t="inlineStr">
        <is>
          <t>SE_05 Door ECU</t>
        </is>
      </c>
      <c r="E52" s="46" t="inlineStr">
        <is>
          <t>PD_05A Door Lock Actuator; PD_05B Position / Limit Feedback</t>
        </is>
      </c>
      <c r="F52" s="46" t="inlineStr">
        <is>
          <t>Door_Command → Door Lock Actuator; Position/Limit Feedback → Door_Status</t>
        </is>
      </c>
      <c r="G52" s="46" t="inlineStr">
        <is>
          <t>SCN-04</t>
        </is>
      </c>
      <c r="H52" s="46" t="inlineStr">
        <is>
          <t>Actuator/feedback evidence</t>
        </is>
      </c>
      <c r="I52" s="46">
        <f>IF(OR(C52="",D52="",F52="",G52="",H52=""),"Needs mapping",IF(OR(Requirements!M52="Needs review",COUNTIF(E52:H52,"*TBD*")&gt;0,COUNTIF(E52:H52,"*OPEN*")&gt;0,COUNTIF(E52:H52,"*pending*")&gt;0),"Open / TBD","Traceable"))</f>
        <v/>
      </c>
      <c r="J52" s="46" t="inlineStr">
        <is>
          <t>Frozen Architecture Structure / HW 전기 사양은 하위 HW/BOM 문서에서 관리 | Frozen | V0.4 Freeze: Door actuator/feedback의 기능 경계와 상태 반영 경로를 확정. 전기 수치는 별도 HW 사양으로 관리.</t>
        </is>
      </c>
    </row>
    <row r="53" ht="31" customHeight="1">
      <c r="A53" s="44" t="inlineStr">
        <is>
          <t>SYS_REQ_048</t>
        </is>
      </c>
      <c r="B53" s="46" t="inlineStr">
        <is>
          <t>Light ECU는 Light Command를 실제 LED/Lamp Output으로 표현할 수 있어야 한다.</t>
        </is>
      </c>
      <c r="C53" s="46" t="inlineStr">
        <is>
          <t>SF_04 Light Control</t>
        </is>
      </c>
      <c r="D53" s="46" t="inlineStr">
        <is>
          <t>SE_06 Light ECU</t>
        </is>
      </c>
      <c r="E53" s="46" t="inlineStr">
        <is>
          <t>PD_06A LED / Lamp Loads</t>
        </is>
      </c>
      <c r="F53" s="46" t="inlineStr">
        <is>
          <t>Light_Command → LED/Lamp Loads; Light_Status/LampState bitmask → Gateway/Body_Status</t>
        </is>
      </c>
      <c r="G53" s="46" t="inlineStr">
        <is>
          <t>SCN-03</t>
        </is>
      </c>
      <c r="H53" s="46" t="inlineStr">
        <is>
          <t>Lamp output and status</t>
        </is>
      </c>
      <c r="I53" s="46">
        <f>IF(OR(C53="",D53="",F53="",G53="",H53=""),"Needs mapping",IF(OR(Requirements!M53="Needs review",COUNTIF(E53:H53,"*TBD*")&gt;0,COUNTIF(E53:H53,"*OPEN*")&gt;0,COUNTIF(E53:H53,"*pending*")&gt;0),"Open / TBD","Traceable"))</f>
        <v/>
      </c>
      <c r="J53" s="46" t="inlineStr">
        <is>
          <t>Frozen Architecture Structure / HW 전기 사양은 하위 HW/BOM 문서에서 관리 | Frozen | V0.4 Freeze: Light ECU의 실제 LED/Lamp 출력 및 상태 반환 경로 확정. Driver 전기 사양은 별도 HW 사양으로 관리.</t>
        </is>
      </c>
    </row>
    <row r="54" ht="31" customHeight="1">
      <c r="A54" s="44" t="inlineStr">
        <is>
          <t>SYS_REQ_049</t>
        </is>
      </c>
      <c r="B54" s="46" t="inlineStr">
        <is>
          <t>Cluster ECU는 Vehicle/Body/Fault/Health 정보를 ST7796S TFT에 표시할 수 있어야 한다.</t>
        </is>
      </c>
      <c r="C54" s="46" t="inlineStr">
        <is>
          <t>SF_06 Vehicle / Body Status Display</t>
        </is>
      </c>
      <c r="D54" s="46" t="inlineStr">
        <is>
          <t>SE_04 Cluster ECU</t>
        </is>
      </c>
      <c r="E54" s="46" t="inlineStr">
        <is>
          <t>PD_04A ST7796S TFT</t>
        </is>
      </c>
      <c r="F54" s="46" t="inlineStr">
        <is>
          <t>Vehicle_Status / Body_Status / Gateway_Status / Fault_Status → ST7796S TFT display</t>
        </is>
      </c>
      <c r="G54" s="46" t="inlineStr">
        <is>
          <t>SCN-01; SCN-03; SCN-04; SCN-05; SCN-06; SCN-07; SCN-09</t>
        </is>
      </c>
      <c r="H54" s="46" t="inlineStr">
        <is>
          <t>TFT display evidence</t>
        </is>
      </c>
      <c r="I54" s="46">
        <f>IF(OR(C54="",D54="",F54="",G54="",H54=""),"Needs mapping",IF(OR(Requirements!M54="Needs review",COUNTIF(E54:H54,"*TBD*")&gt;0,COUNTIF(E54:H54,"*OPEN*")&gt;0,COUNTIF(E54:H54,"*pending*")&gt;0),"Open / TBD","Traceable"))</f>
        <v/>
      </c>
      <c r="J54" s="46" t="inlineStr">
        <is>
          <t>Frozen Architecture Structure / TFT 핀·드라이버 세부는 하위 HW/FW 문서에서 관리 | Frozen | V0.4 Freeze: ST7796S TFT를 Cluster의 Physical Display로 확정하고 Vehicle/Body/Fault/Health 표시 범위를 유지.</t>
        </is>
      </c>
    </row>
    <row r="55" ht="37.5" customHeight="1">
      <c r="A55" s="44" t="inlineStr">
        <is>
          <t>SYS_REQ_050</t>
        </is>
      </c>
      <c r="B55" s="46" t="inlineStr">
        <is>
          <t>Gateway는 System/Network Health와 Fault State를 관리·전파하고, 영향을 받는 ECU는 실제 Local Fail-safe를 수행해야 한다.</t>
        </is>
      </c>
      <c r="C55" s="46" t="inlineStr">
        <is>
          <t>SF_12 Fault Detection &amp; Recovery Management; SF_13 Fail-safe Control; SF_14 Fault / Health Notification</t>
        </is>
      </c>
      <c r="D55" s="46" t="inlineStr">
        <is>
          <t>SE_03 Gateway ECU; affected ECU(s) per fault; SE_04 Cluster ECU; SE_07 PC Diagnostic Tool</t>
        </is>
      </c>
      <c r="E55" s="46" t="inlineStr">
        <is>
          <t>N/A — Fault 책임 패턴 요구사항; 실제 Local action은 Fault별 영향 ECU에서 수행</t>
        </is>
      </c>
      <c r="F55" s="46" t="inlineStr">
        <is>
          <t>Fault_Status / Gateway_Status; Local Fail-safe action은 Fault별 영향 ECU 책임</t>
        </is>
      </c>
      <c r="G55" s="46" t="inlineStr">
        <is>
          <t>SCN-05~SCN-08</t>
        </is>
      </c>
      <c r="H55" s="46" t="inlineStr">
        <is>
          <t>Responsibility and E2E fault test</t>
        </is>
      </c>
      <c r="I55" s="46">
        <f>IF(OR(C55="",D55="",F55="",G55="",H55=""),"Needs mapping",IF(OR(Requirements!M55="Needs review",COUNTIF(E55:H55,"*TBD*")&gt;0,COUNTIF(E55:H55,"*OPEN*")&gt;0,COUNTIF(E55:H55,"*pending*")&gt;0),"Open / TBD","Traceable"))</f>
        <v/>
      </c>
      <c r="J55" s="46" t="inlineStr">
        <is>
          <t>D-07 confirmed | Draft | V0.3: D-07 책임경계에 맞춰 특정 ECU 열거를 제거. Gateway=Health/Fault 관리·전파, 실제 Local fail-safe=영향 ECU 책임.</t>
        </is>
      </c>
    </row>
    <row r="56" ht="37.5" customHeight="1">
      <c r="A56" s="44" t="inlineStr">
        <is>
          <t>SYS_REQ_051</t>
        </is>
      </c>
      <c r="B56" s="46" t="inlineStr">
        <is>
          <t>Motor ECU는 Gateway의 별도 Fail-safe 명령을 기다리지 않고 VCU_Command의 age/valid/alive를 직접 감시하여 Local Fail-safe를 수행해야 한다.</t>
        </is>
      </c>
      <c r="C56" s="46" t="inlineStr">
        <is>
          <t>SF_11 Network Health Monitoring; SF_13 Fail-safe Control</t>
        </is>
      </c>
      <c r="D56" s="46" t="inlineStr">
        <is>
          <t>SE_02 Motor ECU</t>
        </is>
      </c>
      <c r="E56" s="46" t="inlineStr">
        <is>
          <t>N/A — Virtual Motor 기준 Local monitoring/action; 물리 Driver 의존 금지</t>
        </is>
      </c>
      <c r="F56" s="46" t="inlineStr">
        <is>
          <t>VCU_Command age/valid/alive</t>
        </is>
      </c>
      <c r="G56" s="46" t="inlineStr">
        <is>
          <t>SCN-05</t>
        </is>
      </c>
      <c r="H56" s="46" t="inlineStr">
        <is>
          <t>Motor local monitor test</t>
        </is>
      </c>
      <c r="I56" s="46">
        <f>IF(OR(C56="",D56="",F56="",G56="",H56=""),"Needs mapping",IF(OR(Requirements!M56="Needs review",COUNTIF(E56:H56,"*TBD*")&gt;0,COUNTIF(E56:H56,"*OPEN*")&gt;0,COUNTIF(E56:H56,"*pending*")&gt;0),"Open / TBD","Traceable"))</f>
        <v/>
      </c>
      <c r="J56" s="46" t="inlineStr">
        <is>
          <t>D-07 confirmed | Draft | V0.3: Architecture Baseline의 age/valid/alive 표현 유지. Motor가 Gateway 명령 없이 직접 감시.</t>
        </is>
      </c>
    </row>
    <row r="57" ht="37.5" customHeight="1">
      <c r="A57" s="44" t="inlineStr">
        <is>
          <t>SYS_REQ_052</t>
        </is>
      </c>
      <c r="B57" s="46" t="inlineStr">
        <is>
          <t>Gateway는 각 Fault를 ACTIVE/CLEARED로 독립 관리하고, Representative System State를 FAIL_SAFE &gt; OFFLINE &gt; DEGRADED &gt; NORMAL 순으로 계산해야 한다.</t>
        </is>
      </c>
      <c r="C57" s="46" t="inlineStr">
        <is>
          <t>SF_12 Fault Detection &amp; Recovery Management; SF_14 Fault / Health Notification</t>
        </is>
      </c>
      <c r="D57" s="46" t="inlineStr">
        <is>
          <t>SE_03 Gateway ECU</t>
        </is>
      </c>
      <c r="E57" s="46" t="inlineStr">
        <is>
          <t>N/A — Gateway state-management logic</t>
        </is>
      </c>
      <c r="F57" s="46" t="inlineStr">
        <is>
          <t>Fault_Status; Representative System State</t>
        </is>
      </c>
      <c r="G57" s="46" t="inlineStr">
        <is>
          <t>SCN-07; SCN-08</t>
        </is>
      </c>
      <c r="H57" s="46" t="inlineStr">
        <is>
          <t>Multi-fault state test</t>
        </is>
      </c>
      <c r="I57" s="46">
        <f>IF(OR(C57="",D57="",F57="",G57="",H57=""),"Needs mapping",IF(OR(Requirements!M57="Needs review",COUNTIF(E57:H57,"*TBD*")&gt;0,COUNTIF(E57:H57,"*OPEN*")&gt;0,COUNTIF(E57:H57,"*pending*")&gt;0),"Open / TBD","Traceable"))</f>
        <v/>
      </c>
      <c r="J57" s="46" t="inlineStr">
        <is>
          <t>D-07 confirmed | Draft | 원본 사양서 문구를 기준으로 작성</t>
        </is>
      </c>
    </row>
    <row r="58" ht="31" customHeight="1">
      <c r="A58" s="44" t="inlineStr">
        <is>
          <t>SYS_REQ_053</t>
        </is>
      </c>
      <c r="B58" s="46" t="inlineStr">
        <is>
          <t>VCU timeout, Door recovery, Alive recovery는 정상 조건을 3회 연속 확인한 후 복구해야 한다. QUEUE_DROP은 Queue full 해소, 추가 Drop 없음, QueueUsage &lt; 80% 조건을 HealthTask에서 3회 연속 확인한 후 CLEARED로 복구해야 한다.</t>
        </is>
      </c>
      <c r="C58" s="46" t="inlineStr">
        <is>
          <t>SF_12 Fault Detection &amp; Recovery Management</t>
        </is>
      </c>
      <c r="D58" s="46" t="inlineStr">
        <is>
          <t>SE_03 Gateway ECU</t>
        </is>
      </c>
      <c r="E58" s="46" t="inlineStr">
        <is>
          <t>N/A — Gateway recovery policy</t>
        </is>
      </c>
      <c r="F58" s="46" t="inlineStr">
        <is>
          <t>RecoveryState; QueueUsage; Queue drop counter/log</t>
        </is>
      </c>
      <c r="G58" s="46" t="inlineStr">
        <is>
          <t>SCN-08</t>
        </is>
      </c>
      <c r="H58" s="46" t="inlineStr">
        <is>
          <t>Recovery counter/log + Queue recovery threshold test</t>
        </is>
      </c>
      <c r="I58" s="46">
        <f>IF(OR(C58="",D58="",F58="",G58="",H58=""),"Needs mapping",IF(OR(Requirements!M58="Needs review",COUNTIF(E58:H58,"*TBD*")&gt;0,COUNTIF(E58:H58,"*OPEN*")&gt;0,COUNTIF(E58:H58,"*pending*")&gt;0),"Open / TBD","Traceable"))</f>
        <v/>
      </c>
      <c r="J58" s="46" t="inlineStr">
        <is>
          <t>Frozen Team Recovery Rule / Gateway + Test 리뷰 필요 | Frozen | V0.4 Freeze: QueueUsage &lt; 80% + 추가 drop 없음 + 3 consecutive HealthTask evaluations. 80%는 Handbook 값이 아닌 Team Decision.</t>
        </is>
      </c>
    </row>
    <row r="59" ht="31" customHeight="1">
      <c r="A59" s="44" t="inlineStr">
        <is>
          <t>SYS_REQ_054</t>
        </is>
      </c>
      <c r="B59" s="46" t="inlineStr">
        <is>
          <t>QUEUE_DROP은 DEGRADED로 관리하며, Drop count만으로 FAIL_SAFE로 전환하지 않아야 한다.</t>
        </is>
      </c>
      <c r="C59" s="46" t="inlineStr">
        <is>
          <t>SF_12 Fault Detection &amp; Recovery Management</t>
        </is>
      </c>
      <c r="D59" s="46" t="inlineStr">
        <is>
          <t>SE_03 Gateway ECU</t>
        </is>
      </c>
      <c r="E59" s="46" t="inlineStr">
        <is>
          <t>N/A — Gateway queue-management logic</t>
        </is>
      </c>
      <c r="F59" s="46" t="inlineStr">
        <is>
          <t>QUEUE_DROP / Gateway_Status / log</t>
        </is>
      </c>
      <c r="G59" s="46" t="inlineStr">
        <is>
          <t>SCN-07</t>
        </is>
      </c>
      <c r="H59" s="46" t="inlineStr">
        <is>
          <t>Queue drop injection</t>
        </is>
      </c>
      <c r="I59" s="46">
        <f>IF(OR(C59="",D59="",F59="",G59="",H59=""),"Needs mapping",IF(OR(Requirements!M59="Needs review",COUNTIF(E59:H59,"*TBD*")&gt;0,COUNTIF(E59:H59,"*OPEN*")&gt;0,COUNTIF(E59:H59,"*pending*")&gt;0),"Open / TBD","Traceable"))</f>
        <v/>
      </c>
      <c r="J59" s="46" t="inlineStr">
        <is>
          <t>D-07 confirmed | Draft | 원본 사양서 문구를 기준으로 작성</t>
        </is>
      </c>
    </row>
    <row r="60" ht="31" customHeight="1">
      <c r="A60" s="44" t="inlineStr">
        <is>
          <t>SYS_REQ_055</t>
        </is>
      </c>
      <c r="B60" s="46" t="inlineStr">
        <is>
          <t>30 ms Critical VCU timeout은 100 ms Health polling에만 의존하지 않고 deadline/event 감시 경로로 처리해야 한다.</t>
        </is>
      </c>
      <c r="C60" s="46" t="inlineStr">
        <is>
          <t>SF_11 Network Health Monitoring; SF_12 Fault Detection &amp; Recovery Management</t>
        </is>
      </c>
      <c r="D60" s="46" t="inlineStr">
        <is>
          <t>SE_03 Gateway ECU</t>
        </is>
      </c>
      <c r="E60" s="46" t="inlineStr">
        <is>
          <t>N/A — Gateway deadline/event monitoring logic</t>
        </is>
      </c>
      <c r="F60" s="46" t="inlineStr">
        <is>
          <t>VCU timeout deadline/event path</t>
        </is>
      </c>
      <c r="G60" s="46" t="inlineStr">
        <is>
          <t>SCN-05</t>
        </is>
      </c>
      <c r="H60" s="46" t="inlineStr">
        <is>
          <t>Deadline/event evidence</t>
        </is>
      </c>
      <c r="I60" s="46">
        <f>IF(OR(C60="",D60="",F60="",G60="",H60=""),"Needs mapping",IF(OR(Requirements!M60="Needs review",COUNTIF(E60:H60,"*TBD*")&gt;0,COUNTIF(E60:H60,"*OPEN*")&gt;0,COUNTIF(E60:H60,"*pending*")&gt;0),"Open / TBD","Traceable"))</f>
        <v/>
      </c>
      <c r="J60" s="46" t="inlineStr">
        <is>
          <t>D-07 confirmed | Draft | V0.3: Critical timeout deadline/event 경로의 주 책임을 Gateway로 정렬.</t>
        </is>
      </c>
    </row>
    <row r="61" ht="50" customHeight="1">
      <c r="A61" s="44" t="inlineStr">
        <is>
          <t>SYS_REQ_056</t>
        </is>
      </c>
      <c r="B61" s="46" t="inlineStr">
        <is>
          <t>Fault 기능의 완료는 Detection -&gt; State -&gt; Action -&gt; Propagation -&gt; Recovery 전체 흐름과 Cluster/PC 외부 전파 증거를 포함해야 한다.</t>
        </is>
      </c>
      <c r="C61" s="46" t="inlineStr">
        <is>
          <t>SF_12 Fault Detection &amp; Recovery Management; SF_14 Fault / Health Notification; SF_18 Automated Test Execution</t>
        </is>
      </c>
      <c r="D61" s="46" t="inlineStr">
        <is>
          <t>SE_03 Gateway ECU; SE_04 Cluster ECU; SE_07 PC Diagnostic Tool</t>
        </is>
      </c>
      <c r="E61" s="46" t="inlineStr">
        <is>
          <t>N/A — end-to-end fault flow; physical allocation is indirect</t>
        </is>
      </c>
      <c r="F61" s="46" t="inlineStr">
        <is>
          <t>Fault_Status / Gateway_Status / Cluster / PC propagation</t>
        </is>
      </c>
      <c r="G61" s="46" t="inlineStr">
        <is>
          <t>SCN-05; SCN-06; SCN-07; SCN-08</t>
        </is>
      </c>
      <c r="H61" s="46" t="inlineStr">
        <is>
          <t>M4 fault DoD</t>
        </is>
      </c>
      <c r="I61" s="46">
        <f>IF(OR(C61="",D61="",F61="",G61="",H61=""),"Needs mapping",IF(OR(Requirements!M61="Needs review",COUNTIF(E61:H61,"*TBD*")&gt;0,COUNTIF(E61:H61,"*OPEN*")&gt;0,COUNTIF(E61:H61,"*pending*")&gt;0),"Open / TBD","Traceable"))</f>
        <v/>
      </c>
      <c r="J61" s="46" t="inlineStr">
        <is>
          <t>D-07 confirmed | Draft | 원본 사양서 문구를 기준으로 작성</t>
        </is>
      </c>
    </row>
    <row r="62" ht="31" customHeight="1">
      <c r="A62" s="44" t="inlineStr">
        <is>
          <t>SYS_REQ_057</t>
        </is>
      </c>
      <c r="B62" s="46" t="inlineStr">
        <is>
          <t>Window_Status는 100 ms expected period를 가지며 2 cycle 연속 no response 시 WINDOW_ECU_OFFLINE 및 OFFLINE으로 판정해야 한다. 정상 Window_Status Response와 정상 WindowAlive를 3회 연속 확인하면 Fault를 CLEARED로 복구해야 한다.</t>
        </is>
      </c>
      <c r="C62" s="46" t="inlineStr">
        <is>
          <t>SF_12 Fault Detection &amp; Recovery Management; SF_19 Window Control</t>
        </is>
      </c>
      <c r="D62" s="46" t="inlineStr">
        <is>
          <t>SE_03 Gateway ECU; SE_08 Window ECU</t>
        </is>
      </c>
      <c r="E62" s="46" t="inlineStr">
        <is>
          <t>N/A — Window offline/fault policy</t>
        </is>
      </c>
      <c r="F62" s="46" t="inlineStr">
        <is>
          <t>Window_Status PID 0x15 / 100 ms; 2-cycle no response → WINDOW_ECU_OFFLINE/OFFLINE; Body_Status.WindowStatus=INVALID; recovery = valid Window_Status + WindowAlive ×3</t>
        </is>
      </c>
      <c r="G62" s="46" t="inlineStr">
        <is>
          <t>SCN-09; SCN-10</t>
        </is>
      </c>
      <c r="H62" s="46" t="inlineStr">
        <is>
          <t>2-cycle no-response injection + 3-response recovery test</t>
        </is>
      </c>
      <c r="I62" s="46">
        <f>IF(OR(C62="",D62="",F62="",G62="",H62=""),"Needs mapping",IF(OR(Requirements!M62="Needs review",COUNTIF(E62:H62,"*TBD*")&gt;0,COUNTIF(E62:H62,"*OPEN*")&gt;0,COUNTIF(E62:H62,"*pending*")&gt;0),"Open / TBD","Traceable"))</f>
        <v/>
      </c>
      <c r="J62" s="46" t="inlineStr">
        <is>
          <t>Frozen Team Decision / LIN Interface 변경 시 상대 담당자 리뷰 필요 | Frozen | V0.4 Freeze: Door의 3-cycle을 복사하지 않고 Window는 2-cycle offline, 정상 응답+Alive 3회 복구로 별도 확정.</t>
        </is>
      </c>
    </row>
    <row r="63" ht="37.5" customHeight="1">
      <c r="A63" s="44" t="inlineStr">
        <is>
          <t>SYS_REQ_058</t>
        </is>
      </c>
      <c r="B63" s="46" t="inlineStr">
        <is>
          <t>Fault_Status와 SystemState의 Signal 변경은 Jira → 기준 산출물(요구사항/메시지 정의서) 갱신 → 상대 담당자 리뷰 필요 → DBC/LDF/Schedule → Firmware/Tool/Test → Evidence 흐름을 따라야 한다.</t>
        </is>
      </c>
      <c r="C63" s="46" t="inlineStr">
        <is>
          <t>SF_12 Fault Detection &amp; Recovery Management; SF_16 Communication Logging; SF_18 Automated Test Execution</t>
        </is>
      </c>
      <c r="D63" s="46" t="inlineStr">
        <is>
          <t>SE_03 Gateway ECU; SE_07 PC Diagnostic Tool</t>
        </is>
      </c>
      <c r="E63" s="46" t="inlineStr">
        <is>
          <t>N/A — change-control artifact; linked interface allocations are managed in Interface/PA artifacts</t>
        </is>
      </c>
      <c r="F63" s="46" t="inlineStr">
        <is>
          <t>Fault_Status 0x310 Event: FaultCode[7:0], ECUOffline[11:8], RecoveryState[12], SystemState[14:13], bit15 Reserved; ACTIVE↔CLEARED 전이당 1 Fault Event; Representative SystemState는 Fault_Status.SystemState에 포함하고 Gateway_Status에는 두지 않음</t>
        </is>
      </c>
      <c r="G63" s="46" t="inlineStr">
        <is>
          <t>SCN-07; SCN-08</t>
        </is>
      </c>
      <c r="H63" s="46" t="inlineStr">
        <is>
          <t>Change-control record + Fault_Status encode/decode + event propagation test</t>
        </is>
      </c>
      <c r="I63" s="46">
        <f>IF(OR(C63="",D63="",F63="",G63="",H63=""),"Needs mapping",IF(OR(Requirements!M63="Needs review",COUNTIF(E63:H63,"*TBD*")&gt;0,COUNTIF(E63:H63,"*OPEN*")&gt;0,COUNTIF(E63:H63,"*pending*")&gt;0),"Open / TBD","Traceable"))</f>
        <v/>
      </c>
      <c r="J63" s="46" t="inlineStr">
        <is>
          <t>Frozen Team Interface Decision / CAN Interface 변경 시 상대 담당자 리뷰 필요 | Frozen | V0.5: Matrix reference-only, 02/05 기준 산출물 기반 change control.</t>
        </is>
      </c>
    </row>
    <row r="64" ht="37.5" customHeight="1">
      <c r="A64" s="44" t="inlineStr">
        <is>
          <t>SYS_REQ_059</t>
        </is>
      </c>
      <c r="B64" s="46" t="inlineStr">
        <is>
          <t>Window ECU는 유효한 Window_Command의 수신 상태를 자체 감시하고, 하위 Window SW 설계에서 정의한 Local Command Timeout을 초과하여 미수신될 경우 Gateway의 별도 Fail-safe 명령을 기다리지 않고 Window Motor를 STOP 상태로 전환해야 한다.</t>
        </is>
      </c>
      <c r="C64" s="46" t="inlineStr">
        <is>
          <t>SF_13 Fail-safe Control; SF_19 Window Control</t>
        </is>
      </c>
      <c r="D64" s="46" t="inlineStr">
        <is>
          <t>SE_08 Window ECU</t>
        </is>
      </c>
      <c r="E64" s="46" t="inlineStr">
        <is>
          <t>PD_08A Window H-Bridge; PD_08B Window DC Gear Motor</t>
        </is>
      </c>
      <c r="F64" s="46" t="inlineStr">
        <is>
          <t>Window_Command PID 0x14 / 100 ms; Window ECU local command freshness monitor; POL-009</t>
        </is>
      </c>
      <c r="G64" s="46" t="inlineStr">
        <is>
          <t>Window command-loss local safe-stop test</t>
        </is>
      </c>
      <c r="H64" s="46" t="inlineStr">
        <is>
          <t>Window_Command 송신 중단 Fault Injection → 설정된 Local Command Timeout 만료 후 Motor STOP 확인 + 하위 Window SW timeout parameter trace</t>
        </is>
      </c>
      <c r="I64" s="46">
        <f>IF(OR(C64="",D64="",F64="",G64="",H64=""),"Needs mapping",IF(OR(Requirements!M64="Needs review",COUNTIF(E64:H64,"*TBD*")&gt;0,COUNTIF(E64:H64,"*OPEN*")&gt;0,COUNTIF(E64:H64,"*pending*")&gt;0),"Open / TBD","Traceable"))</f>
        <v/>
      </c>
      <c r="J64" s="46" t="inlineStr">
        <is>
          <t>Frozen Team Decision | Frozen | Local timeout behavior traced to POL-009; numeric threshold delegated to lower-level Window SW requirement.</t>
        </is>
      </c>
    </row>
  </sheetData>
  <autoFilter ref="A5:J64"/>
  <mergeCells count="2">
    <mergeCell ref="A1:J1"/>
    <mergeCell ref="A2:J2"/>
  </mergeCells>
  <conditionalFormatting sqref="I6:I63">
    <cfRule type="containsText" priority="1" operator="containsText" dxfId="1" text="Needs mapping"/>
    <cfRule type="containsText" priority="2" operator="containsText" dxfId="0" text="Traceable"/>
    <cfRule type="expression" priority="3" dxfId="5">
      <formula>$I6="Open / TBD"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30" customWidth="1" min="3" max="3"/>
    <col width="42" customWidth="1" min="4" max="4"/>
    <col width="52" customWidth="1" min="5" max="5"/>
    <col width="14" customWidth="1" min="6" max="6"/>
  </cols>
  <sheetData>
    <row r="1">
      <c r="A1" s="26" t="inlineStr">
        <is>
          <t>Decision / Freeze Register V0.5</t>
        </is>
      </c>
    </row>
    <row r="2">
      <c r="A2" s="27" t="inlineStr">
        <is>
          <t>V0.4 Freeze 유지 + Window_Command Local Timeout Requirement Trace 추가. Matrix는 reference-only.</t>
        </is>
      </c>
    </row>
    <row r="4" ht="34" customHeight="1">
      <c r="A4" s="7" t="inlineStr">
        <is>
          <t>Decision ID</t>
        </is>
      </c>
      <c r="B4" s="7" t="inlineStr">
        <is>
          <t>Decision / Freeze Result</t>
        </is>
      </c>
      <c r="C4" s="7" t="inlineStr">
        <is>
          <t>Affected Requirement(s)</t>
        </is>
      </c>
      <c r="D4" s="7" t="inlineStr">
        <is>
          <t>Impact</t>
        </is>
      </c>
      <c r="E4" s="7" t="inlineStr">
        <is>
          <t>Decision / Required review</t>
        </is>
      </c>
      <c r="F4" s="7" t="inlineStr">
        <is>
          <t>Status</t>
        </is>
      </c>
    </row>
    <row r="5" ht="72" customHeight="1">
      <c r="A5" s="44" t="inlineStr">
        <is>
          <t>OPN-01</t>
        </is>
      </c>
      <c r="B5" s="45" t="inlineStr">
        <is>
          <t>Fault_Status 0x310 Event를 사용. Byte0=FaultCode[7:0], Byte1=ECUOffline[3:0]+RecoveryState[4]+SystemState[6:5]+Reserved[7]. ACTIVE↔CLEARED 전이당 1 Fault Event로 전송.</t>
        </is>
      </c>
      <c r="C5" s="46" t="inlineStr">
        <is>
          <t>SYS_REQ_018; 025; 030; 050; 052; 056; 058</t>
        </is>
      </c>
      <c r="D5" s="46" t="inlineStr">
        <is>
          <t>Gateway / Cluster / PC / Test / CAN Interface</t>
        </is>
      </c>
      <c r="E5" s="46" t="inlineStr">
        <is>
          <t>Message Definition v0.3 Team Encoding 채택 / CAN Interface 변경 시 상대 담당자 리뷰 필요</t>
        </is>
      </c>
      <c r="F5" s="51" t="inlineStr">
        <is>
          <t>RESOLVED</t>
        </is>
      </c>
    </row>
    <row r="6" ht="72" customHeight="1">
      <c r="A6" s="44" t="inlineStr">
        <is>
          <t>OPN-02</t>
        </is>
      </c>
      <c r="B6" s="45" t="inlineStr">
        <is>
          <t>Representative SystemState는 Fault_Status.SystemState에 포함. Gateway_Status에는 별도 SystemState Signal을 두지 않음. Vehicle_Status.NetworkState에는 대표 상태를 반영 가능.</t>
        </is>
      </c>
      <c r="C6" s="46" t="inlineStr">
        <is>
          <t>SYS_REQ_050; 052; 058</t>
        </is>
      </c>
      <c r="D6" s="46" t="inlineStr">
        <is>
          <t>Fault_Status / Vehicle_Status / Cluster / PC</t>
        </is>
      </c>
      <c r="E6" s="46" t="inlineStr">
        <is>
          <t>SystemState: 0 NORMAL, 1 DEGRADED, 2 OFFLINE, 3 FAIL_SAFE / 상대 담당자 리뷰 필요</t>
        </is>
      </c>
      <c r="F6" s="51" t="inlineStr">
        <is>
          <t>RESOLVED</t>
        </is>
      </c>
    </row>
    <row r="7" ht="72" customHeight="1">
      <c r="A7" s="44" t="inlineStr">
        <is>
          <t>OPN-03</t>
        </is>
      </c>
      <c r="B7" s="45" t="inlineStr">
        <is>
          <t>Alive Error Criticality: VCU_Command=Critical→FAIL_SAFE. Motor_Status, Door_Status, Light_Status, Window_Status, Gateway_Status=Non-critical→DEGRADED.</t>
        </is>
      </c>
      <c r="C7" s="46" t="inlineStr">
        <is>
          <t>SYS_REQ_022; 052</t>
        </is>
      </c>
      <c r="D7" s="46" t="inlineStr">
        <is>
          <t>Fault State / Motor / VCU / Gateway</t>
        </is>
      </c>
      <c r="E7" s="46" t="inlineStr">
        <is>
          <t>Message Definition v0.3 Team Classification 채택 / VCU + Motor + Gateway 리뷰 필요</t>
        </is>
      </c>
      <c r="F7" s="51" t="inlineStr">
        <is>
          <t>RESOLVED</t>
        </is>
      </c>
    </row>
    <row r="8" ht="72" customHeight="1">
      <c r="A8" s="44" t="inlineStr">
        <is>
          <t>OPN-04</t>
        </is>
      </c>
      <c r="B8" s="45" t="inlineStr">
        <is>
          <t>QUEUE_DROP recovery = Queue full 해소 + 추가 Drop 없음 + QueueUsage &lt; 80%를 HealthTask에서 3회 연속 확인.</t>
        </is>
      </c>
      <c r="C8" s="46" t="inlineStr">
        <is>
          <t>SYS_REQ_053; 054</t>
        </is>
      </c>
      <c r="D8" s="46" t="inlineStr">
        <is>
          <t>Gateway Queue / Health / KPI</t>
        </is>
      </c>
      <c r="E8" s="46" t="inlineStr">
        <is>
          <t>80% 및 3회는 Team Decision / Gateway SW + Test 리뷰 필요</t>
        </is>
      </c>
      <c r="F8" s="51" t="inlineStr">
        <is>
          <t>RESOLVED</t>
        </is>
      </c>
    </row>
    <row r="9" ht="72" customHeight="1">
      <c r="A9" s="44" t="inlineStr">
        <is>
          <t>OPN-05</t>
        </is>
      </c>
      <c r="B9" s="45" t="inlineStr">
        <is>
          <t>Fault History/Clear 및 UDS 연계는 MVP Requirement Freeze에서 제외. PC Tool의 Active Fault/History 표시·기록까지만 MVP.</t>
        </is>
      </c>
      <c r="C9" s="46" t="inlineStr">
        <is>
          <t>SYS_REQ_030; 031</t>
        </is>
      </c>
      <c r="D9" s="46" t="inlineStr">
        <is>
          <t>PC Tool / Gateway / Stretch Goal</t>
        </is>
      </c>
      <c r="E9" s="46" t="inlineStr">
        <is>
          <t>M4/M5 이후 별도 Jira Issue에서 결정</t>
        </is>
      </c>
      <c r="F9" s="52" t="inlineStr">
        <is>
          <t>DEFERRED</t>
        </is>
      </c>
    </row>
    <row r="10" ht="72" customHeight="1">
      <c r="A10" s="44" t="inlineStr">
        <is>
          <t>OPN-06</t>
        </is>
      </c>
      <c r="B10" s="45" t="inlineStr">
        <is>
          <t>VCU recovery는 Gateway와 Motor가 서로 독립적으로 정상 VCU_Command + Valid + Alive 3회 연속을 확인. Motor는 Gateway clear 명령을 기다리지 않고 local fail-safe를 해제하며 Gateway는 FaultManager에서 VCU_TIMEOUT을 CLEARED 처리.</t>
        </is>
      </c>
      <c r="C10" s="46" t="inlineStr">
        <is>
          <t>SYS_REQ_024; 026; 050; 051; 053</t>
        </is>
      </c>
      <c r="D10" s="46" t="inlineStr">
        <is>
          <t>Gateway FaultManager / Motor Local Recovery</t>
        </is>
      </c>
      <c r="E10" s="46" t="inlineStr">
        <is>
          <t>분산 책임 원칙 + D-07 3회 Recovery 기준 / Gateway + Motor 리뷰 필요</t>
        </is>
      </c>
      <c r="F10" s="51" t="inlineStr">
        <is>
          <t>RESOLVED</t>
        </is>
      </c>
    </row>
    <row r="11" ht="72" customHeight="1">
      <c r="A11" s="44" t="inlineStr">
        <is>
          <t>OPN-07</t>
        </is>
      </c>
      <c r="B11" s="45" t="inlineStr">
        <is>
          <t>Window_Command PID 0x14, 1 byte, 100 ms, slot 10 ms, Enhanced checksum. Window_Status PID 0x15, 2 bytes, 100 ms, slot 30 ms, Enhanced checksum. BODY_10ms=10 ms slot/100 ms supercycle.</t>
        </is>
      </c>
      <c r="C11" s="46" t="inlineStr">
        <is>
          <t>SYS_REQ_043; 044; 057</t>
        </is>
      </c>
      <c r="D11" s="46" t="inlineStr">
        <is>
          <t>LIN Interface / Routing / Window FW/Test</t>
        </is>
      </c>
      <c r="E11" s="46" t="inlineStr">
        <is>
          <t>Message Definition v0.3 Team Encoding 채택 / Gateway + Window + LIN Common 상대 담당자 리뷰 필요</t>
        </is>
      </c>
      <c r="F11" s="51" t="inlineStr">
        <is>
          <t>RESOLVED</t>
        </is>
      </c>
    </row>
    <row r="12" ht="72" customHeight="1">
      <c r="A12" s="44" t="inlineStr">
        <is>
          <t>OPN-08</t>
        </is>
      </c>
      <c r="B12" s="45" t="inlineStr">
        <is>
          <t>Window_Status 100 ms 기준 2 cycle 연속 no response 시 WINDOW_ECU_OFFLINE/OFFLINE. 정상 Window_Status + WindowAlive 3회 연속 시 CLEARED.</t>
        </is>
      </c>
      <c r="C12" s="46" t="inlineStr">
        <is>
          <t>SYS_REQ_057</t>
        </is>
      </c>
      <c r="D12" s="46" t="inlineStr">
        <is>
          <t>Gateway Health/Fault / Window</t>
        </is>
      </c>
      <c r="E12" s="46" t="inlineStr">
        <is>
          <t>Door 3-cycle과 분리된 Window Team Decision / Gateway + Window + Test 리뷰 필요</t>
        </is>
      </c>
      <c r="F12" s="51" t="inlineStr">
        <is>
          <t>RESOLVED</t>
        </is>
      </c>
    </row>
    <row r="13" ht="72" customHeight="1">
      <c r="A13" s="44" t="inlineStr">
        <is>
          <t>OPN-09</t>
        </is>
      </c>
      <c r="B13" s="45" t="inlineStr">
        <is>
          <t>SYS_REQ_045~049의 Physical Device 구조/기능 경계는 Freeze. 전압·전류·PWM·pin map·최종 부품 전기 사양은 하위 HW/BOM 사양에서 확정하며 SYS_REQ Freeze를 차단하지 않음.</t>
        </is>
      </c>
      <c r="C13" s="46" t="inlineStr">
        <is>
          <t>SYS_REQ_045; 046; 047; 048; 049</t>
        </is>
      </c>
      <c r="D13" s="46" t="inlineStr">
        <is>
          <t>PA / BOM / Pin map / HW Evidence</t>
        </is>
      </c>
      <c r="E13" s="46" t="inlineStr">
        <is>
          <t>HW/BOM 단계에서 실제 부품 사양 기준으로 확정 / ECU Owner + HW/Power 리뷰 필요</t>
        </is>
      </c>
      <c r="F13" s="52" t="inlineStr">
        <is>
          <t>DEFERRED</t>
        </is>
      </c>
    </row>
    <row r="14" ht="72" customHeight="1">
      <c r="A14" s="44" t="inlineStr">
        <is>
          <t>OPN-10</t>
        </is>
      </c>
      <c r="B14" s="45" t="inlineStr">
        <is>
          <t>UDS/정식 진단은 MVP 제외 유지. M4/M5 통과 후 잔여 일정이 있을 때 최소 진단 시나리오를 Stretch Goal로 재검토.</t>
        </is>
      </c>
      <c r="C14" s="46" t="inlineStr">
        <is>
          <t>SYS_REQ_040</t>
        </is>
      </c>
      <c r="D14" s="46" t="inlineStr">
        <is>
          <t>PC Tool / Gateway / Test</t>
        </is>
      </c>
      <c r="E14" s="46" t="inlineStr">
        <is>
          <t>M4/M5 이후 별도 Go/No-Go</t>
        </is>
      </c>
      <c r="F14" s="52" t="inlineStr">
        <is>
          <t>DEFERRED</t>
        </is>
      </c>
    </row>
    <row r="15" ht="72" customHeight="1">
      <c r="A15" s="44" t="inlineStr">
        <is>
          <t>OPN-11</t>
        </is>
      </c>
      <c r="B15" s="45" t="inlineStr">
        <is>
          <t>Window_Command Local Timeout은 Window ECU의 Local fail-safe 정책으로 분리. Window ECU가 유효 Window_Command 미수신을 자체 감시하고 하위 Window SW에서 정의한 Local Command Timeout 초과 시 Motor STOP. 별도 System Fault/Event mapping은 이 Requirement에서 추가하지 않음.</t>
        </is>
      </c>
      <c r="C15" s="46" t="inlineStr">
        <is>
          <t>SYS_REQ_059</t>
        </is>
      </c>
      <c r="D15" s="46" t="inlineStr">
        <is>
          <t>Window SW / Local fail-safe / Test</t>
        </is>
      </c>
      <c r="E15" s="46" t="inlineStr">
        <is>
          <t>POL-009 + SYS_REQ_059로 Trace 확정. 정량 timeout 값은 하위 Window SW 상세 요구사항에서 정의·검증하며 System Requirement에서 임의 생성하지 않음.</t>
        </is>
      </c>
      <c r="F15" s="52" t="inlineStr">
        <is>
          <t>RESOLVED</t>
        </is>
      </c>
    </row>
  </sheetData>
  <autoFilter ref="A4:F15"/>
  <mergeCells count="2">
    <mergeCell ref="A2:F2"/>
    <mergeCell ref="A1:F1"/>
  </mergeCells>
  <conditionalFormatting sqref="F5:F14">
    <cfRule type="expression" priority="1" dxfId="5">
      <formula>$F5="OPEN"</formula>
    </cfRule>
  </conditionalFormatting>
  <dataValidations count="1">
    <dataValidation sqref="F5:F14" showDropDown="0" showInputMessage="0" showErrorMessage="0" allowBlank="0" type="list">
      <formula1>"OPEN,RESOLVED,DEFERRED"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20" customWidth="1" min="1" max="1"/>
    <col width="40" customWidth="1" min="2" max="2"/>
    <col width="48" customWidth="1" min="3" max="3"/>
    <col width="72" customWidth="1" min="4" max="4"/>
  </cols>
  <sheetData>
    <row r="1" ht="19" customHeight="1">
      <c r="A1" s="29" t="inlineStr">
        <is>
          <t>Sources and Modeling Notes | V0.5 Freeze</t>
        </is>
      </c>
    </row>
    <row r="2">
      <c r="A2" s="13" t="n"/>
      <c r="B2" s="13" t="n"/>
      <c r="C2" s="13" t="n"/>
      <c r="D2" s="13" t="n"/>
    </row>
    <row r="3">
      <c r="A3" s="7" t="inlineStr">
        <is>
          <t>Source ID</t>
        </is>
      </c>
      <c r="B3" s="7" t="inlineStr">
        <is>
          <t>Source / Artifact</t>
        </is>
      </c>
      <c r="C3" s="7" t="inlineStr">
        <is>
          <t>Location or Section</t>
        </is>
      </c>
      <c r="D3" s="7" t="inlineStr">
        <is>
          <t>How it is used</t>
        </is>
      </c>
    </row>
    <row r="4" ht="34" customHeight="1">
      <c r="A4" s="44" t="inlineStr">
        <is>
          <t>HB</t>
        </is>
      </c>
      <c r="B4" s="45" t="inlineStr">
        <is>
          <t>CAN-LIN Gateway Handbook v1.0</t>
        </is>
      </c>
      <c r="C4" s="46" t="inlineStr">
        <is>
          <t>Project standard / Sections 1~16</t>
        </is>
      </c>
      <c r="D4" s="46" t="inlineStr">
        <is>
          <t>프로젝트 수치, Gate/DoD, CAN/LIN, RTOS, Fault 및 변경관리의 기준 문서</t>
        </is>
      </c>
    </row>
    <row r="5" ht="34" customHeight="1">
      <c r="A5" s="44" t="inlineStr">
        <is>
          <t>ARCH-SPEC</t>
        </is>
      </c>
      <c r="B5" s="45" t="inlineStr">
        <is>
          <t>System Architecture Specification v1.0</t>
        </is>
      </c>
      <c r="C5" s="46" t="inlineStr">
        <is>
          <t>SYS-ARCH-SPEC-001 / Sections 3, 8, 10, 12, 13</t>
        </is>
      </c>
      <c r="D5" s="46" t="inlineStr">
        <is>
          <t>SYS_REQ_001~058 Architecture Baseline 문구/검증/영향 기준. SYS_REQ_059는 Message Definition POL-009 기반 Team append-only 요구사항.</t>
        </is>
      </c>
    </row>
    <row r="6" ht="34" customHeight="1">
      <c r="A6" s="44" t="inlineStr">
        <is>
          <t>D07</t>
        </is>
      </c>
      <c r="B6" s="45" t="inlineStr">
        <is>
          <t>D-07 Fault Handling &amp; Fail-safe v0.9</t>
        </is>
      </c>
      <c r="C6" s="46" t="inlineStr">
        <is>
          <t>Decision Log / Open Items / Test Set</t>
        </is>
      </c>
      <c r="D6" s="46" t="inlineStr">
        <is>
          <t>Gateway Fault 관리·전파, ECU Local Fail-safe, Recovery, Queue, Critical deadline/event 결정</t>
        </is>
      </c>
    </row>
    <row r="7" ht="34" customHeight="1">
      <c r="A7" s="44" t="inlineStr">
        <is>
          <t>CAPELLA</t>
        </is>
      </c>
      <c r="B7" s="45" t="inlineStr">
        <is>
          <t>CAN_LIN_Gateway_Capella_Diagrams.pdf</t>
        </is>
      </c>
      <c r="C7" s="46" t="inlineStr">
        <is>
          <t>OA / SA / LA / PA / Dynamic Scenarios</t>
        </is>
      </c>
      <c r="D7" s="46" t="inlineStr">
        <is>
          <t>SE/PD/Bus/Component Exchange 및 SCN 시각 모델 확인</t>
        </is>
      </c>
    </row>
    <row r="8" ht="34" customHeight="1">
      <c r="A8" s="44" t="inlineStr">
        <is>
          <t>CAN-MATRIX-REF</t>
        </is>
      </c>
      <c r="B8" s="45" t="inlineStr">
        <is>
          <t>CAN_Matrix.xlsx</t>
        </is>
      </c>
      <c r="C8" s="46" t="inlineStr">
        <is>
          <t>Reference only</t>
        </is>
      </c>
      <c r="D8" s="46" t="inlineStr">
        <is>
          <t>참고용 산출물. 본 Requirements Baseline을 덮어쓰는 기준으로 사용하지 않음</t>
        </is>
      </c>
    </row>
    <row r="9" ht="34" customHeight="1">
      <c r="A9" s="44" t="inlineStr">
        <is>
          <t>LIN-MATRIX-REF</t>
        </is>
      </c>
      <c r="B9" s="45" t="inlineStr">
        <is>
          <t>LIN_Matrix.xlsx</t>
        </is>
      </c>
      <c r="C9" s="46" t="inlineStr">
        <is>
          <t>Reference only</t>
        </is>
      </c>
      <c r="D9" s="46" t="inlineStr">
        <is>
          <t>참고용 산출물. 본 Requirements Baseline을 덮어쓰는 기준으로 사용하지 않음</t>
        </is>
      </c>
    </row>
    <row r="10" ht="34" customHeight="1">
      <c r="A10" s="44" t="inlineStr">
        <is>
          <t>MSG-DEF</t>
        </is>
      </c>
      <c r="B10" s="45" t="inlineStr">
        <is>
          <t>02__메시지_정의서_v0.4_정합.xlsx</t>
        </is>
      </c>
      <c r="C10" s="46" t="inlineStr">
        <is>
          <t>FIX Interface / POL-009 / 2026-09-30</t>
        </is>
      </c>
      <c r="D10" s="46" t="inlineStr">
        <is>
          <t>V0.5 Freeze의 Window/Fault/Queue Team Decision 입력. Matrix는 참고용이며 DBC/LDF/FW/Test/Evidence는 02/05 기준에 동기화.</t>
        </is>
      </c>
    </row>
    <row r="11" ht="34" customHeight="1">
      <c r="A11" s="44" t="inlineStr">
        <is>
          <t>SCENARIO</t>
        </is>
      </c>
      <c r="B11" s="45" t="inlineStr">
        <is>
          <t>Mandatory Dynamic Scenarios</t>
        </is>
      </c>
      <c r="C11" s="46" t="inlineStr">
        <is>
          <t>SYS-ARCH-SPEC-001 Section 10 / SCN-01~10</t>
        </is>
      </c>
      <c r="D11" s="46" t="inlineStr">
        <is>
          <t>Scenario mapping, expected result, evidence type</t>
        </is>
      </c>
    </row>
    <row r="12">
      <c r="A12" s="48" t="n"/>
    </row>
    <row r="13">
      <c r="A13" s="49" t="n"/>
    </row>
    <row r="14">
      <c r="A14" s="50" t="inlineStr">
        <is>
          <t>Important modeling / source boundary</t>
        </is>
      </c>
      <c r="B14" s="53" t="n"/>
      <c r="C14" s="53" t="n"/>
      <c r="D14" s="54" t="n"/>
    </row>
    <row r="15" ht="54" customHeight="1">
      <c r="A15" s="46" t="inlineStr">
        <is>
          <t>CAN/LIN Matrix는 참고용입니다. V0.5 Baseline은 Handbook/D-07/Architecture + 02 메시지 정의서 FIX + 본 Requirements를 기준으로 관리합니다. Interface 변경은 Jira → 기준 산출물(02/05) 갱신 → 상대 담당자 리뷰 필요 → DBC/LDF → Firmware/Tool/Test → Evidence 순으로 통제합니다. Matrix는 필요 시 참고용으로 동기화합니다.</t>
        </is>
      </c>
      <c r="B15" s="53" t="n"/>
      <c r="C15" s="53" t="n"/>
      <c r="D15" s="54" t="n"/>
    </row>
  </sheetData>
  <autoFilter ref="A3:D11"/>
  <mergeCells count="3">
    <mergeCell ref="A1:D1"/>
    <mergeCell ref="A14:D14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2026-09-30T00:20:58Z</dcterms:created>
  <dcterms:modified xmlns:dcterms="http://purl.org/dc/terms/" xmlns:xsi="http://www.w3.org/2001/XMLSchema-instance" xsi:type="dcterms:W3CDTF">2026-09-30T01:35:13Z</dcterms:modified>
</cp:coreProperties>
</file>