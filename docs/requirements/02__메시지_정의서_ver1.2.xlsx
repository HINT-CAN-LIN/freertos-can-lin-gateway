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92" firstSheet="3" activeTab="3" autoFilterDateGrouping="1"/>
  </bookViews>
  <sheets>
    <sheet xmlns:r="http://schemas.openxmlformats.org/officeDocument/2006/relationships" name="Message_Summary" sheetId="1" state="visible" r:id="rId1"/>
    <sheet xmlns:r="http://schemas.openxmlformats.org/officeDocument/2006/relationships" name="CAN_Message_Definition" sheetId="2" state="visible" r:id="rId2"/>
    <sheet xmlns:r="http://schemas.openxmlformats.org/officeDocument/2006/relationships" name="CAN_Signal_Definition" sheetId="3" state="visible" r:id="rId3"/>
    <sheet xmlns:r="http://schemas.openxmlformats.org/officeDocument/2006/relationships" name="LIN_Frame_Definition" sheetId="4" state="visible" r:id="rId4"/>
    <sheet xmlns:r="http://schemas.openxmlformats.org/officeDocument/2006/relationships" name="LIN_Signal_Definition" sheetId="5" state="visible" r:id="rId5"/>
    <sheet xmlns:r="http://schemas.openxmlformats.org/officeDocument/2006/relationships" name="Value_Table" sheetId="6" state="visible" r:id="rId6"/>
    <sheet xmlns:r="http://schemas.openxmlformats.org/officeDocument/2006/relationships" name="Fault_Timeout_Policy" sheetId="7" state="visible" r:id="rId7"/>
    <sheet xmlns:r="http://schemas.openxmlformats.org/officeDocument/2006/relationships" name="Revision_History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&quot; ms&quot;"/>
    <numFmt numFmtId="166" formatCode="0.0"/>
  </numFmts>
  <fonts count="15">
    <font>
      <name val="Carlito"/>
      <sz val="11"/>
    </font>
    <font>
      <name val="Arial"/>
      <family val="2"/>
      <color rgb="FF1F2937"/>
      <sz val="10"/>
    </font>
    <font>
      <name val="Carlito"/>
      <sz val="11"/>
    </font>
    <font>
      <name val="돋움"/>
      <charset val="129"/>
      <family val="3"/>
      <sz val="8"/>
    </font>
    <font>
      <name val="Arial"/>
      <family val="2"/>
      <b val="1"/>
      <color rgb="FFFFFFFF"/>
      <sz val="15"/>
    </font>
    <font>
      <name val="Arial"/>
      <family val="2"/>
      <i val="1"/>
      <color rgb="FF64748B"/>
      <sz val="9"/>
    </font>
    <font>
      <name val="Arial"/>
      <family val="2"/>
      <b val="1"/>
      <color rgb="FF334155"/>
      <sz val="10"/>
    </font>
    <font>
      <name val="Arial"/>
      <family val="2"/>
      <b val="1"/>
      <color rgb="FF334155"/>
      <sz val="11"/>
    </font>
    <font>
      <name val="Arial"/>
      <family val="2"/>
      <b val="1"/>
      <color rgb="FF334155"/>
      <sz val="9"/>
    </font>
    <font>
      <name val="맑은 고딕"/>
      <charset val="129"/>
      <family val="3"/>
      <color rgb="FF1F2937"/>
      <sz val="10"/>
    </font>
    <font>
      <name val="Arial"/>
      <family val="3"/>
      <color rgb="FF1F2937"/>
      <sz val="10"/>
    </font>
    <font>
      <name val="Arial"/>
      <charset val="129"/>
      <family val="3"/>
      <color rgb="FF1F2937"/>
      <sz val="10"/>
    </font>
    <font>
      <name val="맑은 고딕"/>
      <charset val="129"/>
      <family val="2"/>
      <color rgb="FF1F2937"/>
      <sz val="10"/>
    </font>
    <font>
      <name val="Arial"/>
      <charset val="129"/>
      <family val="2"/>
      <color rgb="FF1F2937"/>
      <sz val="10"/>
    </font>
    <font>
      <name val="Carlito"/>
      <i val="1"/>
      <color rgb="FF666666"/>
      <sz val="11"/>
    </font>
  </fonts>
  <fills count="6">
    <fill>
      <patternFill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1F5F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94A3B8"/>
      </top>
      <bottom style="thin">
        <color rgb="FFCBD5E1"/>
      </bottom>
      <diagonal/>
    </border>
    <border>
      <left/>
      <right/>
      <top style="thin">
        <color rgb="FF94A3B8"/>
      </top>
      <bottom style="thin">
        <color rgb="FFE2E8F0"/>
      </bottom>
      <diagonal/>
    </border>
    <border>
      <left/>
      <right/>
      <top style="thin">
        <color rgb="FF94A3B8"/>
      </top>
      <bottom/>
      <diagonal/>
    </border>
  </borders>
  <cellStyleXfs count="2">
    <xf numFmtId="0" fontId="2" fillId="0" borderId="0"/>
    <xf numFmtId="0" fontId="2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164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horizontal="center" vertical="center" wrapText="1"/>
    </xf>
    <xf numFmtId="165" fontId="1" fillId="0" borderId="0" applyAlignment="1" pivotButton="0" quotePrefix="0" xfId="1">
      <alignment vertical="center" wrapText="1"/>
    </xf>
    <xf numFmtId="49" fontId="1" fillId="0" borderId="0" applyAlignment="1" pivotButton="0" quotePrefix="0" xfId="1">
      <alignment vertical="center" wrapText="1"/>
    </xf>
    <xf numFmtId="0" fontId="8" fillId="5" borderId="3" applyAlignment="1" pivotButton="0" quotePrefix="0" xfId="1">
      <alignment horizontal="center" vertical="center" wrapText="1"/>
    </xf>
    <xf numFmtId="0" fontId="5" fillId="3" borderId="4" applyAlignment="1" pivotButton="0" quotePrefix="0" xfId="1">
      <alignment vertical="center" wrapText="1"/>
    </xf>
    <xf numFmtId="0" fontId="6" fillId="3" borderId="5" applyAlignment="1" pivotButton="0" quotePrefix="0" xfId="1">
      <alignment horizontal="center" vertical="center" wrapText="1"/>
    </xf>
    <xf numFmtId="1" fontId="6" fillId="3" borderId="5" applyAlignment="1" pivotButton="0" quotePrefix="0" xfId="1">
      <alignment horizontal="center" vertical="center" wrapText="1"/>
    </xf>
    <xf numFmtId="166" fontId="1" fillId="0" borderId="0" applyAlignment="1" pivotButton="0" quotePrefix="0" xfId="1">
      <alignment vertical="center" wrapText="1"/>
    </xf>
    <xf numFmtId="0" fontId="11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vertical="center" wrapText="1"/>
    </xf>
    <xf numFmtId="0" fontId="13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 wrapText="1"/>
    </xf>
    <xf numFmtId="0" fontId="5" fillId="3" borderId="4" applyAlignment="1" pivotButton="0" quotePrefix="0" xfId="1">
      <alignment vertical="center" wrapText="1"/>
    </xf>
    <xf numFmtId="0" fontId="7" fillId="4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0" fontId="4" fillId="2" borderId="0" applyAlignment="1" pivotButton="0" quotePrefix="0" xfId="1">
      <alignment horizontal="left" vertical="center"/>
    </xf>
    <xf numFmtId="0" fontId="5" fillId="3" borderId="1" applyAlignment="1" pivotButton="0" quotePrefix="0" xfId="1">
      <alignment vertical="center" wrapText="1"/>
    </xf>
    <xf numFmtId="0" fontId="7" fillId="4" borderId="2" applyAlignment="1" pivotButton="0" quotePrefix="0" xfId="1">
      <alignment vertical="center"/>
    </xf>
    <xf numFmtId="0" fontId="5" fillId="3" borderId="6" applyAlignment="1" pivotButton="0" quotePrefix="0" xfId="1">
      <alignment vertical="center" wrapText="1"/>
    </xf>
    <xf numFmtId="1" fontId="0" fillId="3" borderId="5" applyAlignment="1" pivotButton="0" quotePrefix="0" xfId="1">
      <alignment horizontal="center" vertical="center" wrapText="1"/>
    </xf>
    <xf numFmtId="0" fontId="1" fillId="0" borderId="4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0" borderId="0" pivotButton="0" quotePrefix="0" xfId="0"/>
    <xf numFmtId="0" fontId="14" fillId="0" borderId="0" applyAlignment="1" pivotButton="0" quotePrefix="0" xfId="0">
      <alignment wrapText="1"/>
    </xf>
    <xf numFmtId="49" fontId="1" fillId="0" borderId="0" applyAlignment="1" pivotButton="0" quotePrefix="0" xfId="1">
      <alignment vertical="center"/>
    </xf>
    <xf numFmtId="0" fontId="0" fillId="0" borderId="1" pivotButton="0" quotePrefix="0" xfId="0"/>
    <xf numFmtId="0" fontId="0" fillId="0" borderId="2" pivotButton="0" quotePrefix="0" xfId="0"/>
    <xf numFmtId="164" fontId="1" fillId="0" borderId="0" applyAlignment="1" pivotButton="0" quotePrefix="0" xfId="1">
      <alignment vertical="center" wrapText="1"/>
    </xf>
    <xf numFmtId="0" fontId="0" fillId="0" borderId="4" pivotButton="0" quotePrefix="0" xfId="0"/>
    <xf numFmtId="165" fontId="1" fillId="0" borderId="0" applyAlignment="1" pivotButton="0" quotePrefix="0" xfId="1">
      <alignment vertical="center" wrapText="1"/>
    </xf>
    <xf numFmtId="166" fontId="1" fillId="0" borderId="0" applyAlignment="1" pivotButton="0" quotePrefix="0" xfId="1">
      <alignment vertical="center" wrapText="1"/>
    </xf>
    <xf numFmtId="0" fontId="0" fillId="0" borderId="7" pivotButton="0" quotePrefix="0" xfId="0"/>
  </cellXfs>
  <cellStyles count="2">
    <cellStyle name="표준" xfId="0" builtinId="0"/>
    <cellStyle name="Normal" xfId="1"/>
  </cellStyles>
  <dxfs count="230"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font>
        <name val="Arial"/>
        <family val="2"/>
        <color rgb="FF1F2937"/>
        <sz val="10"/>
      </font>
      <fill>
        <patternFill/>
      </fill>
    </dxf>
    <dxf>
      <border>
        <bottom style="thin">
          <color rgb="FF94A3B8"/>
        </bottom>
      </border>
    </dxf>
    <dxf>
      <font>
        <name val="Arial"/>
        <family val="2"/>
        <b val="1"/>
        <color rgb="FF334155"/>
        <sz val="9"/>
      </font>
      <fill>
        <patternFill patternType="solid">
          <fgColor indexed="64"/>
          <bgColor rgb="FFF1F5F9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NetworkOverviewTable" displayName="NetworkOverviewTable" ref="A13:G16" headerRowCount="1" totalsRowShown="0" headerRowDxfId="229" dataDxfId="227" headerRowBorderDxfId="228">
  <tableColumns count="7">
    <tableColumn id="1" name="Network" dataDxfId="226"/>
    <tableColumn id="2" name="Interface / Role" dataDxfId="225"/>
    <tableColumn id="3" name="Nodes" dataDxfId="224"/>
    <tableColumn id="4" name="Bitrate" dataDxfId="223"/>
    <tableColumn id="5" name="Base schedule" dataDxfId="222"/>
    <tableColumn id="6" name="Scope" dataDxfId="221"/>
    <tableColumn id="7" name="Notes" dataDxfId="220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MessageSummaryTable" displayName="MessageSummaryTable" ref="A24:N36" headerRowCount="1" totalsRowShown="0" headerRowDxfId="219" dataDxfId="217" headerRowBorderDxfId="218">
  <tableColumns count="14">
    <tableColumn id="1" name="Network" dataDxfId="216"/>
    <tableColumn id="2" name="Message / Frame" dataDxfId="215"/>
    <tableColumn id="3" name="ID / PID" dataDxfId="214"/>
    <tableColumn id="4" name="ID Format" dataDxfId="213"/>
    <tableColumn id="5" name="DLC / Length" dataDxfId="212"/>
    <tableColumn id="6" name="Tx Type" dataDxfId="211"/>
    <tableColumn id="7" name="Period" dataDxfId="210"/>
    <tableColumn id="8" name="Sender / Publisher" dataDxfId="209"/>
    <tableColumn id="9" name="Receiver / Subscriber" dataDxfId="208"/>
    <tableColumn id="10" name="Primary signal / purpose" dataDxfId="207"/>
    <tableColumn id="11" name="Alive / Timeout" dataDxfId="206"/>
    <tableColumn id="12" name="Source" dataDxfId="205"/>
    <tableColumn id="13" name="Status" dataDxfId="204"/>
    <tableColumn id="14" name="Review Gate" dataDxfId="203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CANMessageDefinitionTable" displayName="CANMessageDefinitionTable" ref="A5:P11" headerRowCount="1" totalsRowShown="0" headerRowDxfId="202" dataDxfId="200" headerRowBorderDxfId="201">
  <tableColumns count="16">
    <tableColumn id="1" name="Group" dataDxfId="199"/>
    <tableColumn id="2" name="Message Name" dataDxfId="198"/>
    <tableColumn id="3" name="CAN ID" dataDxfId="197"/>
    <tableColumn id="4" name="ID Format" dataDxfId="196"/>
    <tableColumn id="5" name="DLC" dataDxfId="195"/>
    <tableColumn id="6" name="Tx Type" dataDxfId="194"/>
    <tableColumn id="7" name="Cycle Time (ms)" dataDxfId="193"/>
    <tableColumn id="8" name="Transmitter" dataDxfId="192"/>
    <tableColumn id="9" name="Receiver" dataDxfId="191"/>
    <tableColumn id="10" name="Purpose" dataDxfId="190"/>
    <tableColumn id="11" name="Alive Counter" dataDxfId="189"/>
    <tableColumn id="12" name="Timeout / Invalid" dataDxfId="188"/>
    <tableColumn id="13" name="Related Requirement" dataDxfId="187"/>
    <tableColumn id="14" name="DBC / Matrix Link" dataDxfId="186"/>
    <tableColumn id="15" name="Status" dataDxfId="185"/>
    <tableColumn id="16" name="Review" dataDxfId="184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CANByteBitMapTable" displayName="CANByteBitMapTable" ref="A14:J21" headerRowCount="1" totalsRowShown="0" headerRowDxfId="183" dataDxfId="181" headerRowBorderDxfId="182">
  <tableColumns count="10">
    <tableColumn id="1" name="Message Name" dataDxfId="180"/>
    <tableColumn id="2" name="Byte 0" dataDxfId="179"/>
    <tableColumn id="3" name="Byte 1" dataDxfId="178"/>
    <tableColumn id="4" name="Byte 2" dataDxfId="177"/>
    <tableColumn id="5" name="Byte 3" dataDxfId="176"/>
    <tableColumn id="6" name="Byte 4" dataDxfId="175"/>
    <tableColumn id="7" name="Byte 5" dataDxfId="174"/>
    <tableColumn id="8" name="Byte 6" dataDxfId="173"/>
    <tableColumn id="9" name="Byte 7" dataDxfId="172"/>
    <tableColumn id="10" name="Map Status" dataDxfId="171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CANSignalDefinitionTable" displayName="CANSignalDefinitionTable" ref="A5:U29" headerRowCount="1" totalsRowShown="0" headerRowDxfId="170" dataDxfId="168" headerRowBorderDxfId="169">
  <tableColumns count="21">
    <tableColumn id="1" name="Signal Key" dataDxfId="167"/>
    <tableColumn id="2" name="Message Name" dataDxfId="166"/>
    <tableColumn id="3" name="Signal Name" dataDxfId="165"/>
    <tableColumn id="4" name="Start Bit" dataDxfId="164"/>
    <tableColumn id="5" name="Length" dataDxfId="163"/>
    <tableColumn id="6" name="Byte Order" dataDxfId="162"/>
    <tableColumn id="7" name="Data Type" dataDxfId="161"/>
    <tableColumn id="8" name="Factor" dataDxfId="160"/>
    <tableColumn id="9" name="Offset" dataDxfId="159"/>
    <tableColumn id="10" name="Min" dataDxfId="158"/>
    <tableColumn id="11" name="Max" dataDxfId="157"/>
    <tableColumn id="12" name="Unit" dataDxfId="156"/>
    <tableColumn id="13" name="Initial" dataDxfId="155"/>
    <tableColumn id="14" name="Invalid" dataDxfId="154"/>
    <tableColumn id="15" name="Transmitter" dataDxfId="153"/>
    <tableColumn id="16" name="Receiver" dataDxfId="152"/>
    <tableColumn id="17" name="Value Table" dataDxfId="151"/>
    <tableColumn id="18" name="Source / Trace" dataDxfId="150"/>
    <tableColumn id="19" name="Status" dataDxfId="149"/>
    <tableColumn id="20" name="Review" dataDxfId="148"/>
    <tableColumn id="21" name="Related Requirement" dataDxfId="147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LINFrameDefinitionTable" displayName="LINFrameDefinitionTable" ref="A5:P11" headerRowCount="1" totalsRowShown="0" headerRowDxfId="146" dataDxfId="144" headerRowBorderDxfId="145">
  <tableColumns count="16">
    <tableColumn id="1" name="Frame Type" dataDxfId="143"/>
    <tableColumn id="2" name="Frame Name" dataDxfId="142"/>
    <tableColumn id="3" name="PID" dataDxfId="141"/>
    <tableColumn id="4" name="Direction" dataDxfId="140"/>
    <tableColumn id="5" name="Length (bytes)" dataDxfId="139"/>
    <tableColumn id="6" name="Tx Method" dataDxfId="138"/>
    <tableColumn id="7" name="Period (ms)" dataDxfId="137"/>
    <tableColumn id="8" name="Publisher" dataDxfId="136"/>
    <tableColumn id="9" name="Subscriber" dataDxfId="135"/>
    <tableColumn id="10" name="Schedule Slot" dataDxfId="134"/>
    <tableColumn id="11" name="Checksum" dataDxfId="133"/>
    <tableColumn id="12" name="Purpose" dataDxfId="132"/>
    <tableColumn id="13" name="Related Requirement" dataDxfId="131"/>
    <tableColumn id="14" name="LDF / Matrix Link" dataDxfId="130"/>
    <tableColumn id="15" name="Status" dataDxfId="129"/>
    <tableColumn id="16" name="Review" dataDxfId="128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LINMasterScheduleTable" displayName="LINMasterScheduleTable" ref="A14:E20" headerRowCount="1" totalsRowShown="0" headerRowDxfId="127" dataDxfId="125" headerRowBorderDxfId="126">
  <tableColumns count="5">
    <tableColumn id="1" name="Slot Time (ms)" dataDxfId="124"/>
    <tableColumn id="2" name="Schedule Entry" dataDxfId="123"/>
    <tableColumn id="3" name="Frame" dataDxfId="122"/>
    <tableColumn id="4" name="Meaning" dataDxfId="121"/>
    <tableColumn id="5" name="Status" dataDxfId="120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LINSignalDefinitionTable" displayName="LINSignalDefinitionTable" ref="A5:U24" headerRowCount="1" totalsRowShown="0" headerRowDxfId="119" dataDxfId="117" headerRowBorderDxfId="118">
  <tableColumns count="21">
    <tableColumn id="1" name="Signal Key" dataDxfId="116"/>
    <tableColumn id="2" name="Frame Name" dataDxfId="115"/>
    <tableColumn id="3" name="Signal Name" dataDxfId="114"/>
    <tableColumn id="4" name="Start Bit" dataDxfId="113"/>
    <tableColumn id="5" name="Length" dataDxfId="112"/>
    <tableColumn id="6" name="Byte Order" dataDxfId="111"/>
    <tableColumn id="7" name="Data Type" dataDxfId="110"/>
    <tableColumn id="8" name="Factor" dataDxfId="109"/>
    <tableColumn id="9" name="Offset" dataDxfId="108"/>
    <tableColumn id="10" name="Min" dataDxfId="107"/>
    <tableColumn id="11" name="Max" dataDxfId="106"/>
    <tableColumn id="12" name="Unit" dataDxfId="105"/>
    <tableColumn id="13" name="Initial" dataDxfId="104"/>
    <tableColumn id="14" name="Invalid" dataDxfId="103"/>
    <tableColumn id="15" name="Publisher" dataDxfId="102"/>
    <tableColumn id="16" name="Subscriber" dataDxfId="101"/>
    <tableColumn id="17" name="Value Table" dataDxfId="100"/>
    <tableColumn id="18" name="Source / Trace" dataDxfId="99"/>
    <tableColumn id="19" name="Status" dataDxfId="98"/>
    <tableColumn id="20" name="Review" dataDxfId="97"/>
    <tableColumn id="21" name="Related Requirement" dataDxfId="96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ValueTableDefinition" displayName="ValueTableDefinition" ref="A5:I85" headerRowCount="1" totalsRowShown="0" headerRowDxfId="95" dataDxfId="93" headerRowBorderDxfId="94">
  <tableColumns count="9">
    <tableColumn id="1" name="Table ID" dataDxfId="92"/>
    <tableColumn id="2" name="Domain" dataDxfId="91"/>
    <tableColumn id="3" name="Raw Value" dataDxfId="90"/>
    <tableColumn id="4" name="Label" dataDxfId="89"/>
    <tableColumn id="5" name="Meaning" dataDxfId="88"/>
    <tableColumn id="6" name="Unit" dataDxfId="87"/>
    <tableColumn id="7" name="Encoding Scope" dataDxfId="86"/>
    <tableColumn id="8" name="Source / Trace" dataDxfId="85"/>
    <tableColumn id="9" name="Status" dataDxfId="84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id="10" name="FaultTimeoutPolicyTable" displayName="FaultTimeoutPolicyTable" ref="A5:O14" headerRowCount="1" totalsRowShown="0" headerRowDxfId="83" dataDxfId="81" headerRowBorderDxfId="82">
  <tableColumns count="15">
    <tableColumn id="1" name="Policy ID" dataDxfId="80"/>
    <tableColumn id="2" name="Fault / Condition" dataDxfId="79"/>
    <tableColumn id="3" name="Source Interface" dataDxfId="78"/>
    <tableColumn id="4" name="Detection / Threshold" dataDxfId="77"/>
    <tableColumn id="5" name="Expected Period" dataDxfId="76"/>
    <tableColumn id="6" name="State" dataDxfId="75"/>
    <tableColumn id="7" name="Local ECU Action" dataDxfId="74"/>
    <tableColumn id="8" name="Gateway Action" dataDxfId="73"/>
    <tableColumn id="9" name="External Propagation" dataDxfId="72"/>
    <tableColumn id="10" name="Recovery Condition" dataDxfId="71"/>
    <tableColumn id="11" name="Recovery Count / Basis" dataDxfId="70"/>
    <tableColumn id="12" name="Related Requirement" dataDxfId="69"/>
    <tableColumn id="13" name="Source / Trace" dataDxfId="68"/>
    <tableColumn id="14" name="Status" dataDxfId="67"/>
    <tableColumn id="15" name="Review" dataDxfId="66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id="11" name="RepresentativeStateTable" displayName="RepresentativeStateTable" ref="A16:F20" headerRowCount="1" totalsRowShown="0" headerRowDxfId="65" dataDxfId="63" headerRowBorderDxfId="64">
  <tableColumns count="6">
    <tableColumn id="1" name="State" dataDxfId="62"/>
    <tableColumn id="2" name="Meaning" dataDxfId="61"/>
    <tableColumn id="3" name="Representative example" dataDxfId="60"/>
    <tableColumn id="4" name="Cluster view" dataDxfId="59"/>
    <tableColumn id="5" name="PC Diagnostic Tool view" dataDxfId="58"/>
    <tableColumn id="6" name="Source" dataDxfId="57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id="12" name="RevisionHistoryTable" displayName="RevisionHistoryTable" ref="A5:H10" headerRowCount="1" totalsRowShown="0" headerRowDxfId="56" dataDxfId="54" headerRowBorderDxfId="55">
  <tableColumns count="8">
    <tableColumn id="1" name="Version" dataDxfId="53"/>
    <tableColumn id="2" name="Date" dataDxfId="52"/>
    <tableColumn id="3" name="Change" dataDxfId="51"/>
    <tableColumn id="4" name="Basis / Source" dataDxfId="50"/>
    <tableColumn id="5" name="Owner" dataDxfId="49"/>
    <tableColumn id="6" name="Status" dataDxfId="48"/>
    <tableColumn id="7" name="Review" dataDxfId="47"/>
    <tableColumn id="8" name="Notes" dataDxfId="46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id="13" name="SourceRegisterTable" displayName="SourceRegisterTable" ref="A14:H21" headerRowCount="1" totalsRowShown="0" headerRowDxfId="45" dataDxfId="43" headerRowBorderDxfId="44">
  <tableColumns count="8">
    <tableColumn id="1" name="Source ID" dataDxfId="42"/>
    <tableColumn id="2" name="File" dataDxfId="41"/>
    <tableColumn id="3" name="Section / Page" dataDxfId="40"/>
    <tableColumn id="4" name="Used for" dataDxfId="39"/>
    <tableColumn id="5" name="Availability" dataDxfId="38"/>
    <tableColumn id="6" name="Integration action" dataDxfId="37"/>
    <tableColumn id="7" name="Review" dataDxfId="36"/>
    <tableColumn id="8" name="Notes" dataDxfId="35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/Relationships>
</file>

<file path=xl/worksheets/sheet1.xml><?xml version="1.0" encoding="utf-8"?>
<worksheet xmlns="http://schemas.openxmlformats.org/spreadsheetml/2006/main">
  <sheetPr>
    <tabColor rgb="FF475569"/>
    <outlinePr summaryBelow="1" summaryRight="1"/>
    <pageSetUpPr/>
  </sheetPr>
  <dimension ref="A1:N120"/>
  <sheetViews>
    <sheetView zoomScale="85" zoomScaleNormal="85" workbookViewId="0">
      <selection activeCell="C30" sqref="C30"/>
    </sheetView>
  </sheetViews>
  <sheetFormatPr baseColWidth="8" defaultRowHeight="14"/>
  <cols>
    <col width="13" customWidth="1" min="1" max="1"/>
    <col width="67.25" bestFit="1" customWidth="1" min="2" max="2"/>
    <col width="24.75" bestFit="1" customWidth="1" min="3" max="3"/>
    <col width="15" customWidth="1" min="4" max="4"/>
    <col width="30.08203125" bestFit="1" customWidth="1" min="5" max="5"/>
    <col width="12" customWidth="1" min="6" max="6"/>
    <col width="50.33203125" bestFit="1" customWidth="1" min="7" max="7"/>
    <col width="40.75" bestFit="1" customWidth="1" min="8" max="8"/>
    <col width="21" customWidth="1" min="9" max="9"/>
    <col width="36" customWidth="1" min="10" max="10"/>
    <col width="22" customWidth="1" min="11" max="11"/>
    <col width="24" customWidth="1" min="12" max="12"/>
    <col width="16" customWidth="1" min="13" max="13"/>
    <col width="23" customWidth="1" min="14" max="14"/>
  </cols>
  <sheetData>
    <row r="1" ht="27" customHeight="1">
      <c r="A1" s="21" t="inlineStr">
        <is>
          <t>FreeRTOS CAN-LIN Gateway 메시지 정의서</t>
        </is>
      </c>
    </row>
    <row r="2" ht="34" customHeight="1">
      <c r="A2" s="22" t="inlineStr">
        <is>
          <t>FIX Interface 반영본 | 02 메시지 정의서와 05 요구사항 명세서를 Interface/Requirement Baseline으로 사용 | CAN/LIN Matrix는 참고용 | Interface 변경 시 상대 담당자 리뷰 필요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</row>
    <row r="4" ht="22" customHeight="1">
      <c r="A4" s="23" t="inlineStr">
        <is>
          <t>Document information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</row>
    <row r="5" ht="24" customHeight="1">
      <c r="A5" s="20" t="inlineStr">
        <is>
          <t>문서명</t>
        </is>
      </c>
      <c r="B5" s="20" t="inlineStr">
        <is>
          <t>FreeRTOS CAN-LIN Gateway 메시지 정의서</t>
        </is>
      </c>
      <c r="C5" s="27" t="n"/>
      <c r="D5" s="20" t="inlineStr">
        <is>
          <t>CAN bitrate</t>
        </is>
      </c>
      <c r="E5" s="20" t="inlineStr">
        <is>
          <t>500 kbps</t>
        </is>
      </c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</row>
    <row r="6" ht="24" customHeight="1">
      <c r="A6" s="20" t="inlineStr">
        <is>
          <t>프로젝트</t>
        </is>
      </c>
      <c r="B6" s="20" t="inlineStr">
        <is>
          <t>FreeRTOS / CAN-LIN Gateway 7인 팀 프로젝트</t>
        </is>
      </c>
      <c r="C6" s="27" t="n"/>
      <c r="D6" s="20" t="inlineStr">
        <is>
          <t>LIN bitrate</t>
        </is>
      </c>
      <c r="E6" s="20" t="inlineStr">
        <is>
          <t>19.2 kbps</t>
        </is>
      </c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</row>
    <row r="7" ht="36" customHeight="1">
      <c r="A7" s="20" t="inlineStr">
        <is>
          <t>기준 문서</t>
        </is>
      </c>
      <c r="B7" s="20" t="inlineStr">
        <is>
          <t>CAN-LIN Gateway Handbook v1.0; 시스템 아키텍처 사양서 v1.0; D-07 Fault/Failsafe v0.9</t>
        </is>
      </c>
      <c r="C7" s="27" t="n"/>
      <c r="D7" s="20" t="inlineStr">
        <is>
          <t>CAN FD</t>
        </is>
      </c>
      <c r="E7" s="20" t="inlineStr">
        <is>
          <t>Stretch Goal / 기본 범위 제외</t>
        </is>
      </c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</row>
    <row r="8" ht="24" customHeight="1">
      <c r="A8" s="20" t="inlineStr">
        <is>
          <t>작성 기준일</t>
        </is>
      </c>
      <c r="B8" s="33" t="n">
        <v>46293</v>
      </c>
      <c r="C8" s="27" t="n"/>
      <c r="D8" s="20" t="inlineStr">
        <is>
          <t>Motor</t>
        </is>
      </c>
      <c r="E8" s="20" t="inlineStr">
        <is>
          <t>Virtual Motor ECU 기본안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</row>
    <row r="9" ht="36" customHeight="1">
      <c r="A9" s="20" t="inlineStr">
        <is>
          <t>원본 연계</t>
        </is>
      </c>
      <c r="B9" s="20" t="inlineStr">
        <is>
          <t>Reference artifacts: CAN_Matrix.xlsx / LIN_Matrix.xlsx | Derived implementation artifacts: vehicle.dbc / vehicle.ldf</t>
        </is>
      </c>
      <c r="C9" s="27" t="n"/>
      <c r="D9" s="20" t="inlineStr">
        <is>
          <t>LIN Master</t>
        </is>
      </c>
      <c r="E9" s="20" t="inlineStr">
        <is>
          <t>Gateway</t>
        </is>
      </c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</row>
    <row r="10" ht="36" customHeight="1">
      <c r="A10" s="20" t="inlineStr">
        <is>
          <t>현재 원본 상태</t>
        </is>
      </c>
      <c r="B10" s="20" t="inlineStr">
        <is>
          <t>CAN/LIN Matrix는 참고용이며 본 Workbook FIX Interface를 덮어쓰지 않음. DBC/LDF/Firmware/Test는 02/05 기준값에 동기화.</t>
        </is>
      </c>
      <c r="C10" s="27" t="n"/>
      <c r="D10" s="20" t="inlineStr">
        <is>
          <t>Window</t>
        </is>
      </c>
      <c r="E10" s="20" t="inlineStr">
        <is>
          <t>In-Scope LIN Slave</t>
        </is>
      </c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</row>
    <row r="12" ht="22" customHeight="1">
      <c r="A12" s="23" t="inlineStr">
        <is>
          <t>Network overview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</row>
    <row r="13" ht="30" customHeight="1">
      <c r="A13" s="9" t="inlineStr">
        <is>
          <t>Network</t>
        </is>
      </c>
      <c r="B13" s="9" t="inlineStr">
        <is>
          <t>Interface / Role</t>
        </is>
      </c>
      <c r="C13" s="9" t="inlineStr">
        <is>
          <t>Nodes</t>
        </is>
      </c>
      <c r="D13" s="9" t="inlineStr">
        <is>
          <t>Bitrate</t>
        </is>
      </c>
      <c r="E13" s="9" t="inlineStr">
        <is>
          <t>Base schedule</t>
        </is>
      </c>
      <c r="F13" s="9" t="inlineStr">
        <is>
          <t>Scope</t>
        </is>
      </c>
      <c r="G13" s="9" t="inlineStr">
        <is>
          <t>Notes</t>
        </is>
      </c>
      <c r="H13" s="27" t="n"/>
      <c r="I13" s="27" t="n"/>
      <c r="J13" s="27" t="n"/>
      <c r="K13" s="27" t="n"/>
      <c r="L13" s="27" t="n"/>
      <c r="M13" s="27" t="n"/>
      <c r="N13" s="27" t="n"/>
    </row>
    <row r="14" ht="32" customHeight="1">
      <c r="A14" s="20" t="inlineStr">
        <is>
          <t>CAN</t>
        </is>
      </c>
      <c r="B14" s="20" t="inlineStr">
        <is>
          <t>Classical CAN / control &amp; status</t>
        </is>
      </c>
      <c r="C14" s="20" t="inlineStr">
        <is>
          <t>VCU, Motor, Gateway, Cluster</t>
        </is>
      </c>
      <c r="D14" s="20" t="inlineStr">
        <is>
          <t>500 kbps</t>
        </is>
      </c>
      <c r="E14" s="20" t="inlineStr">
        <is>
          <t>Message cycle 10/20/100 ms + event</t>
        </is>
      </c>
      <c r="F14" s="20" t="inlineStr">
        <is>
          <t>In-scope</t>
        </is>
      </c>
      <c r="G14" s="20" t="inlineStr">
        <is>
          <t>CAN FD는 Stretch Goal</t>
        </is>
      </c>
      <c r="H14" s="27" t="n"/>
      <c r="I14" s="27" t="n"/>
      <c r="J14" s="27" t="n"/>
      <c r="K14" s="27" t="n"/>
      <c r="L14" s="27" t="n"/>
      <c r="M14" s="27" t="n"/>
      <c r="N14" s="27" t="n"/>
    </row>
    <row r="15" ht="32" customHeight="1">
      <c r="A15" s="20" t="inlineStr">
        <is>
          <t>LIN</t>
        </is>
      </c>
      <c r="B15" s="20" t="inlineStr">
        <is>
          <t>Gateway Master / Body ECU Slave</t>
        </is>
      </c>
      <c r="C15" s="20" t="inlineStr">
        <is>
          <t>Gateway, Door, Light, Window</t>
        </is>
      </c>
      <c r="D15" s="20" t="inlineStr">
        <is>
          <t>19.2 kbps</t>
        </is>
      </c>
      <c r="E15" s="20" t="inlineStr">
        <is>
          <t>10 ms slot / 100 ms supercycle</t>
        </is>
      </c>
      <c r="F15" s="20" t="inlineStr">
        <is>
          <t>In-scope</t>
        </is>
      </c>
      <c r="G15" s="20" t="inlineStr">
        <is>
          <t>Window 포함 Team Schedule. Handbook 20 ms baseline 확장 → Interface Change/Review 필요</t>
        </is>
      </c>
      <c r="H15" s="27" t="n"/>
      <c r="I15" s="27" t="n"/>
      <c r="J15" s="27" t="n"/>
      <c r="K15" s="27" t="n"/>
      <c r="L15" s="27" t="n"/>
      <c r="M15" s="27" t="n"/>
      <c r="N15" s="27" t="n"/>
    </row>
    <row r="16" ht="32" customHeight="1">
      <c r="A16" s="20" t="inlineStr">
        <is>
          <t>PC</t>
        </is>
      </c>
      <c r="B16" s="20" t="inlineStr">
        <is>
          <t>CANable external diagnostic interface</t>
        </is>
      </c>
      <c r="C16" s="20" t="inlineStr">
        <is>
          <t>PC Diagnostic Tool</t>
        </is>
      </c>
      <c r="D16" s="20" t="inlineStr">
        <is>
          <t>via CAN</t>
        </is>
      </c>
      <c r="E16" s="20" t="inlineStr">
        <is>
          <t>Event/log driven</t>
        </is>
      </c>
      <c r="F16" s="20" t="inlineStr">
        <is>
          <t>In-scope</t>
        </is>
      </c>
      <c r="G16" s="20" t="inlineStr">
        <is>
          <t>DBC decode, raw monitor, health/fault, logging, injection, pytest</t>
        </is>
      </c>
      <c r="H16" s="27" t="n"/>
      <c r="I16" s="27" t="n"/>
      <c r="J16" s="27" t="n"/>
      <c r="K16" s="27" t="n"/>
      <c r="L16" s="27" t="n"/>
      <c r="M16" s="27" t="n"/>
      <c r="N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</row>
    <row r="18" ht="22" customHeight="1">
      <c r="A18" s="23" t="inlineStr">
        <is>
          <t>KPI and review gate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</row>
    <row r="19" ht="24" customHeight="1">
      <c r="A19" s="11" t="inlineStr">
        <is>
          <t>CAN 메시지</t>
        </is>
      </c>
      <c r="B19" s="12">
        <f>COUNTA(CAN_Message_Definition!$B$6:$B$11)</f>
        <v/>
      </c>
      <c r="C19" s="12" t="inlineStr">
        <is>
          <t>LIN 프레임</t>
        </is>
      </c>
      <c r="D19" s="12">
        <f>COUNTA(LIN_Frame_Definition!$B$6:$B$11)</f>
        <v/>
      </c>
      <c r="E19" s="11" t="inlineStr">
        <is>
          <t>Open / Review records</t>
        </is>
      </c>
      <c r="F19" s="25">
        <f>COUNTIF(CAN_Signal_Definition!$T$6:$T$29,"상대 담당자 리뷰 필요")+COUNTIF(LIN_Signal_Definition!$T$6:$T$24,"상대 담당자 리뷰 필요")+COUNTIF(LIN_Frame_Definition!$P$6:$P$11,"상대 담당자 리뷰 필요")+COUNTIF(Fault_Timeout_Policy!$O$6:$O$13,"상대 담당자 리뷰 필요")</f>
        <v/>
      </c>
      <c r="G19" s="11" t="inlineStr">
        <is>
          <t>Review Gate</t>
        </is>
      </c>
      <c r="H19" s="11">
        <f>IF(F19&gt;0,"OPEN: 상대 담당자 리뷰 필요","READY")</f>
        <v/>
      </c>
      <c r="I19" s="27" t="n"/>
      <c r="J19" s="27" t="n"/>
      <c r="K19" s="27" t="n"/>
      <c r="L19" s="27" t="n"/>
      <c r="M19" s="27" t="n"/>
      <c r="N19" s="27" t="n"/>
    </row>
    <row r="20" ht="28" customHeight="1">
      <c r="A20" s="27" t="n"/>
      <c r="B20" s="27" t="n"/>
      <c r="C20" s="27" t="n"/>
      <c r="D20" s="27" t="n"/>
      <c r="E20" s="27" t="n"/>
      <c r="F20" s="27" t="n"/>
      <c r="G20" s="27" t="n"/>
      <c r="H20" s="6" t="n"/>
      <c r="I20" s="27" t="n"/>
      <c r="J20" s="27" t="n"/>
      <c r="K20" s="27" t="n"/>
      <c r="L20" s="27" t="n"/>
      <c r="M20" s="27" t="n"/>
      <c r="N20" s="27" t="n"/>
    </row>
    <row r="21" ht="36" customHeight="1">
      <c r="A21" s="18" t="inlineStr">
        <is>
          <t>Status 의미: 기준 예시/기준 문서 반영 = source baseline, 기준+팀 결정안/팀 결정안 = 프로젝트 encoding 결정(리뷰 전), 확정 = 리뷰 완료 기준. Merge만으로 Done 처리하지 않음.</t>
        </is>
      </c>
      <c r="B21" s="34" t="n"/>
      <c r="C21" s="34" t="n"/>
      <c r="D21" s="34" t="n"/>
      <c r="E21" s="34" t="n"/>
      <c r="F21" s="34" t="n"/>
      <c r="G21" s="34" t="n"/>
      <c r="H21" s="34" t="n"/>
      <c r="I21" s="18" t="n"/>
      <c r="J21" s="18" t="n"/>
      <c r="K21" s="18" t="n"/>
      <c r="L21" s="18" t="n"/>
      <c r="M21" s="18" t="n"/>
      <c r="N21" s="18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</row>
    <row r="23" ht="22" customHeight="1">
      <c r="A23" s="19" t="inlineStr">
        <is>
          <t>Message and frame summary</t>
        </is>
      </c>
    </row>
    <row r="24" ht="30" customHeight="1">
      <c r="A24" s="9" t="inlineStr">
        <is>
          <t>Network</t>
        </is>
      </c>
      <c r="B24" s="9" t="inlineStr">
        <is>
          <t>Message / Frame</t>
        </is>
      </c>
      <c r="C24" s="9" t="inlineStr">
        <is>
          <t>ID / PID</t>
        </is>
      </c>
      <c r="D24" s="9" t="inlineStr">
        <is>
          <t>ID Format</t>
        </is>
      </c>
      <c r="E24" s="9" t="inlineStr">
        <is>
          <t>DLC / Length</t>
        </is>
      </c>
      <c r="F24" s="9" t="inlineStr">
        <is>
          <t>Tx Type</t>
        </is>
      </c>
      <c r="G24" s="9" t="inlineStr">
        <is>
          <t>Period</t>
        </is>
      </c>
      <c r="H24" s="9" t="inlineStr">
        <is>
          <t>Sender / Publisher</t>
        </is>
      </c>
      <c r="I24" s="9" t="inlineStr">
        <is>
          <t>Receiver / Subscriber</t>
        </is>
      </c>
      <c r="J24" s="9" t="inlineStr">
        <is>
          <t>Primary signal / purpose</t>
        </is>
      </c>
      <c r="K24" s="9" t="inlineStr">
        <is>
          <t>Alive / Timeout</t>
        </is>
      </c>
      <c r="L24" s="9" t="inlineStr">
        <is>
          <t>Source</t>
        </is>
      </c>
      <c r="M24" s="9" t="inlineStr">
        <is>
          <t>Status</t>
        </is>
      </c>
      <c r="N24" s="9" t="inlineStr">
        <is>
          <t>Review Gate</t>
        </is>
      </c>
    </row>
    <row r="25" ht="42" customHeight="1">
      <c r="A25" s="20" t="inlineStr">
        <is>
          <t>CAN</t>
        </is>
      </c>
      <c r="B25" s="20" t="inlineStr">
        <is>
          <t>VCU_Command</t>
        </is>
      </c>
      <c r="C25" s="20" t="inlineStr">
        <is>
          <t>0x100 (hex)</t>
        </is>
      </c>
      <c r="D25" s="20" t="inlineStr">
        <is>
          <t>Standard</t>
        </is>
      </c>
      <c r="E25" s="20" t="n">
        <v>8</v>
      </c>
      <c r="F25" s="20" t="inlineStr">
        <is>
          <t>Cyclic</t>
        </is>
      </c>
      <c r="G25" s="35" t="n">
        <v>10</v>
      </c>
      <c r="H25" s="20" t="inlineStr">
        <is>
          <t>VCU</t>
        </is>
      </c>
      <c r="I25" s="20" t="inlineStr">
        <is>
          <t>Motor / Gateway / Cluster</t>
        </is>
      </c>
      <c r="J25" s="20" t="inlineStr">
        <is>
          <t>TorqueRequest, Gear, Brake, AliveCounter</t>
        </is>
      </c>
      <c r="K25" s="20" t="inlineStr">
        <is>
          <t>30 ms age timeout</t>
        </is>
      </c>
      <c r="L25" s="20" t="inlineStr">
        <is>
          <t>HB §5.2; ARCH §8.1</t>
        </is>
      </c>
      <c r="M25" s="20" t="inlineStr">
        <is>
          <t>기준 문서 반영</t>
        </is>
      </c>
      <c r="N25" s="20" t="inlineStr">
        <is>
          <t>담당자 확인</t>
        </is>
      </c>
    </row>
    <row r="26" ht="42" customHeight="1">
      <c r="A26" s="20" t="inlineStr">
        <is>
          <t>CAN</t>
        </is>
      </c>
      <c r="B26" s="20" t="inlineStr">
        <is>
          <t>Motor_Status</t>
        </is>
      </c>
      <c r="C26" s="20" t="inlineStr">
        <is>
          <t>0x110 (hex)</t>
        </is>
      </c>
      <c r="D26" s="20" t="inlineStr">
        <is>
          <t>Standard</t>
        </is>
      </c>
      <c r="E26" s="20" t="n">
        <v>8</v>
      </c>
      <c r="F26" s="20" t="inlineStr">
        <is>
          <t>Cyclic</t>
        </is>
      </c>
      <c r="G26" s="35" t="n">
        <v>10</v>
      </c>
      <c r="H26" s="20" t="inlineStr">
        <is>
          <t>Motor</t>
        </is>
      </c>
      <c r="I26" s="20" t="inlineStr">
        <is>
          <t>VCU / Gateway / Cluster</t>
        </is>
      </c>
      <c r="J26" s="20" t="inlineStr">
        <is>
          <t>RPM, TorqueApplied, MotorState, AliveCounter</t>
        </is>
      </c>
      <c r="K26" s="20" t="inlineStr">
        <is>
          <t>Alive 0-15 wrap; ALIVE_ERROR → DEGRADED (Team classification)</t>
        </is>
      </c>
      <c r="L26" s="20" t="inlineStr">
        <is>
          <t>HB §5.2; ARCH §8.1</t>
        </is>
      </c>
      <c r="M26" s="20" t="inlineStr">
        <is>
          <t>기준 문서 반영</t>
        </is>
      </c>
      <c r="N26" s="20" t="inlineStr">
        <is>
          <t>담당자 확인</t>
        </is>
      </c>
    </row>
    <row r="27" ht="42" customHeight="1">
      <c r="A27" s="20" t="inlineStr">
        <is>
          <t>CAN</t>
        </is>
      </c>
      <c r="B27" s="20" t="inlineStr">
        <is>
          <t>Vehicle_Status</t>
        </is>
      </c>
      <c r="C27" s="20" t="inlineStr">
        <is>
          <t>0x120 (hex)</t>
        </is>
      </c>
      <c r="D27" s="20" t="inlineStr">
        <is>
          <t>Standard</t>
        </is>
      </c>
      <c r="E27" s="20" t="n">
        <v>8</v>
      </c>
      <c r="F27" s="20" t="inlineStr">
        <is>
          <t>Cyclic</t>
        </is>
      </c>
      <c r="G27" s="35" t="n">
        <v>20</v>
      </c>
      <c r="H27" s="20" t="inlineStr">
        <is>
          <t>Gateway</t>
        </is>
      </c>
      <c r="I27" s="20" t="inlineStr">
        <is>
          <t>Cluster / PC</t>
        </is>
      </c>
      <c r="J27" s="20" t="inlineStr">
        <is>
          <t>Speed, RPM, Gear, Brake, network state</t>
        </is>
      </c>
      <c r="K27" s="20" t="inlineStr">
        <is>
          <t>Gateway health context</t>
        </is>
      </c>
      <c r="L27" s="20" t="inlineStr">
        <is>
          <t>HB §5.2; ARCH §8.1</t>
        </is>
      </c>
      <c r="M27" s="20" t="inlineStr">
        <is>
          <t>기준 문서 반영</t>
        </is>
      </c>
      <c r="N27" s="20" t="inlineStr">
        <is>
          <t>담당자 확인</t>
        </is>
      </c>
    </row>
    <row r="28" ht="42" customHeight="1">
      <c r="A28" s="20" t="inlineStr">
        <is>
          <t>CAN</t>
        </is>
      </c>
      <c r="B28" s="20" t="inlineStr">
        <is>
          <t>Body_Status</t>
        </is>
      </c>
      <c r="C28" s="20" t="inlineStr">
        <is>
          <t>0x200 (hex)</t>
        </is>
      </c>
      <c r="D28" s="20" t="inlineStr">
        <is>
          <t>Standard</t>
        </is>
      </c>
      <c r="E28" s="20" t="n">
        <v>8</v>
      </c>
      <c r="F28" s="20" t="inlineStr">
        <is>
          <t>Cyclic</t>
        </is>
      </c>
      <c r="G28" s="35" t="n">
        <v>100</v>
      </c>
      <c r="H28" s="20" t="inlineStr">
        <is>
          <t>Gateway</t>
        </is>
      </c>
      <c r="I28" s="20" t="inlineStr">
        <is>
          <t>Cluster / PC</t>
        </is>
      </c>
      <c r="J28" s="20" t="inlineStr">
        <is>
          <t>Door / Light / Window status, ReverseLamp, DoorOpen</t>
        </is>
      </c>
      <c r="K28" s="20" t="inlineStr">
        <is>
          <t>LIN-derived status</t>
        </is>
      </c>
      <c r="L28" s="20" t="inlineStr">
        <is>
          <t>ARCH §8.1</t>
        </is>
      </c>
      <c r="M28" s="20" t="inlineStr">
        <is>
          <t>기준 문서 반영</t>
        </is>
      </c>
      <c r="N28" s="20" t="inlineStr">
        <is>
          <t>담당자 확인</t>
        </is>
      </c>
    </row>
    <row r="29" ht="42" customHeight="1">
      <c r="A29" s="20" t="inlineStr">
        <is>
          <t>CAN</t>
        </is>
      </c>
      <c r="B29" s="20" t="inlineStr">
        <is>
          <t>Gateway_Status</t>
        </is>
      </c>
      <c r="C29" s="20" t="inlineStr">
        <is>
          <t>0x300 (hex)</t>
        </is>
      </c>
      <c r="D29" s="20" t="inlineStr">
        <is>
          <t>Standard</t>
        </is>
      </c>
      <c r="E29" s="20" t="n">
        <v>8</v>
      </c>
      <c r="F29" s="20" t="inlineStr">
        <is>
          <t>Cyclic</t>
        </is>
      </c>
      <c r="G29" s="35" t="n">
        <v>100</v>
      </c>
      <c r="H29" s="20" t="inlineStr">
        <is>
          <t>Gateway</t>
        </is>
      </c>
      <c r="I29" s="20" t="inlineStr">
        <is>
          <t>All / PC</t>
        </is>
      </c>
      <c r="J29" s="20" t="inlineStr">
        <is>
          <t>Gateway Health, Queue usage, Alive</t>
        </is>
      </c>
      <c r="K29" s="20" t="inlineStr">
        <is>
          <t>GatewayAlive / queue health</t>
        </is>
      </c>
      <c r="L29" s="20" t="inlineStr">
        <is>
          <t>HB §5.2; ARCH §8.1</t>
        </is>
      </c>
      <c r="M29" s="20" t="inlineStr">
        <is>
          <t>기준 문서 반영</t>
        </is>
      </c>
      <c r="N29" s="20" t="inlineStr">
        <is>
          <t>담당자 확인</t>
        </is>
      </c>
    </row>
    <row r="30" ht="42" customHeight="1">
      <c r="A30" s="20" t="inlineStr">
        <is>
          <t>CAN</t>
        </is>
      </c>
      <c r="B30" s="20" t="inlineStr">
        <is>
          <t>Fault_Status</t>
        </is>
      </c>
      <c r="C30" s="20" t="inlineStr">
        <is>
          <t>0x310 (hex)</t>
        </is>
      </c>
      <c r="D30" s="20" t="inlineStr">
        <is>
          <t>Standard</t>
        </is>
      </c>
      <c r="E30" s="20" t="n">
        <v>8</v>
      </c>
      <c r="F30" s="20" t="inlineStr">
        <is>
          <t>Event</t>
        </is>
      </c>
      <c r="G30" s="8" t="inlineStr">
        <is>
          <t>event</t>
        </is>
      </c>
      <c r="H30" s="20" t="inlineStr">
        <is>
          <t>Gateway</t>
        </is>
      </c>
      <c r="I30" s="20" t="inlineStr">
        <is>
          <t>Cluster / PC</t>
        </is>
      </c>
      <c r="J30" s="20" t="inlineStr">
        <is>
          <t>FaultCode, ECUOffline, RecoveryState, SystemState</t>
        </is>
      </c>
      <c r="K30" s="20" t="inlineStr">
        <is>
          <t>ACTIVE↔CLEARED transition event; one fault transition per event</t>
        </is>
      </c>
      <c r="L30" s="20" t="inlineStr">
        <is>
          <t>HB §5.2; ARCH §8.1; D-07</t>
        </is>
      </c>
      <c r="M30" s="20" t="inlineStr">
        <is>
          <t>기준 문서 반영</t>
        </is>
      </c>
      <c r="N30" s="20" t="inlineStr">
        <is>
          <t>상대 담당자 리뷰 필요</t>
        </is>
      </c>
    </row>
    <row r="31" ht="42" customHeight="1">
      <c r="A31" s="20" t="inlineStr">
        <is>
          <t>LIN</t>
        </is>
      </c>
      <c r="B31" s="20" t="inlineStr">
        <is>
          <t>Door_Status</t>
        </is>
      </c>
      <c r="C31" s="20" t="inlineStr">
        <is>
          <t>0x10 (hex)</t>
        </is>
      </c>
      <c r="D31" s="20" t="inlineStr">
        <is>
          <t>PID</t>
        </is>
      </c>
      <c r="E31" s="20" t="n">
        <v>1</v>
      </c>
      <c r="F31" s="20" t="inlineStr">
        <is>
          <t>Scheduled</t>
        </is>
      </c>
      <c r="G31" s="35" t="n">
        <v>100</v>
      </c>
      <c r="H31" s="20" t="inlineStr">
        <is>
          <t>Door</t>
        </is>
      </c>
      <c r="I31" s="20" t="inlineStr">
        <is>
          <t>Gateway</t>
        </is>
      </c>
      <c r="J31" s="20" t="inlineStr">
        <is>
          <t>DoorOpen, DoorLocked, DoorAlive</t>
        </is>
      </c>
      <c r="K31" s="20" t="inlineStr">
        <is>
          <t>3-cycle no response</t>
        </is>
      </c>
      <c r="L31" s="20" t="inlineStr">
        <is>
          <t>HB §6.1; ARCH §8.2</t>
        </is>
      </c>
      <c r="M31" s="20" t="inlineStr">
        <is>
          <t>기준+팀 결정안</t>
        </is>
      </c>
      <c r="N31" s="20" t="inlineStr">
        <is>
          <t>상대 담당자 리뷰 필요</t>
        </is>
      </c>
    </row>
    <row r="32" ht="42" customHeight="1">
      <c r="A32" s="20" t="inlineStr">
        <is>
          <t>LIN</t>
        </is>
      </c>
      <c r="B32" s="20" t="inlineStr">
        <is>
          <t>Door_Command</t>
        </is>
      </c>
      <c r="C32" s="20" t="inlineStr">
        <is>
          <t>0x11 (hex)</t>
        </is>
      </c>
      <c r="D32" s="20" t="inlineStr">
        <is>
          <t>PID</t>
        </is>
      </c>
      <c r="E32" s="20" t="n">
        <v>1</v>
      </c>
      <c r="F32" s="20" t="inlineStr">
        <is>
          <t>Scheduled</t>
        </is>
      </c>
      <c r="G32" s="35" t="n">
        <v>100</v>
      </c>
      <c r="H32" s="20" t="inlineStr">
        <is>
          <t>Gateway</t>
        </is>
      </c>
      <c r="I32" s="20" t="inlineStr">
        <is>
          <t>Door</t>
        </is>
      </c>
      <c r="J32" s="20" t="inlineStr">
        <is>
          <t>LockCommand, RequestState</t>
        </is>
      </c>
      <c r="K32" s="20" t="inlineStr">
        <is>
          <t>Scheduled command</t>
        </is>
      </c>
      <c r="L32" s="20" t="inlineStr">
        <is>
          <t>HB §6.1; ARCH §8.2</t>
        </is>
      </c>
      <c r="M32" s="20" t="inlineStr">
        <is>
          <t>기준+팀 결정안</t>
        </is>
      </c>
      <c r="N32" s="20" t="inlineStr">
        <is>
          <t>상대 담당자 리뷰 필요</t>
        </is>
      </c>
    </row>
    <row r="33" ht="42" customHeight="1">
      <c r="A33" s="20" t="inlineStr">
        <is>
          <t>LIN</t>
        </is>
      </c>
      <c r="B33" s="20" t="inlineStr">
        <is>
          <t>Light_Command</t>
        </is>
      </c>
      <c r="C33" s="20" t="inlineStr">
        <is>
          <t>0x12 (hex)</t>
        </is>
      </c>
      <c r="D33" s="20" t="inlineStr">
        <is>
          <t>PID</t>
        </is>
      </c>
      <c r="E33" s="20" t="n">
        <v>1</v>
      </c>
      <c r="F33" s="20" t="inlineStr">
        <is>
          <t>Scheduled</t>
        </is>
      </c>
      <c r="G33" s="35" t="n">
        <v>50</v>
      </c>
      <c r="H33" s="20" t="inlineStr">
        <is>
          <t>Gateway</t>
        </is>
      </c>
      <c r="I33" s="20" t="inlineStr">
        <is>
          <t>Light</t>
        </is>
      </c>
      <c r="J33" s="20" t="inlineStr">
        <is>
          <t>HeadLamp, TurnLamp, HazardLamp, ReverseLamp, BrakeLamp</t>
        </is>
      </c>
      <c r="K33" s="20" t="inlineStr">
        <is>
          <t>50 ms scheduled command</t>
        </is>
      </c>
      <c r="L33" s="20" t="inlineStr">
        <is>
          <t>HB §6.1; ARCH §8.2</t>
        </is>
      </c>
      <c r="M33" s="20" t="inlineStr">
        <is>
          <t>기준+팀 결정안</t>
        </is>
      </c>
      <c r="N33" s="20" t="inlineStr">
        <is>
          <t>상대 담당자 리뷰 필요</t>
        </is>
      </c>
    </row>
    <row r="34" ht="42" customHeight="1">
      <c r="A34" s="20" t="inlineStr">
        <is>
          <t>LIN</t>
        </is>
      </c>
      <c r="B34" s="20" t="inlineStr">
        <is>
          <t>Light_Status</t>
        </is>
      </c>
      <c r="C34" s="20" t="inlineStr">
        <is>
          <t>0x13 (hex)</t>
        </is>
      </c>
      <c r="D34" s="20" t="inlineStr">
        <is>
          <t>PID</t>
        </is>
      </c>
      <c r="E34" s="20" t="n">
        <v>2</v>
      </c>
      <c r="F34" s="20" t="inlineStr">
        <is>
          <t>Scheduled</t>
        </is>
      </c>
      <c r="G34" s="35" t="n">
        <v>100</v>
      </c>
      <c r="H34" s="20" t="inlineStr">
        <is>
          <t>Light</t>
        </is>
      </c>
      <c r="I34" s="20" t="inlineStr">
        <is>
          <t>Gateway</t>
        </is>
      </c>
      <c r="J34" s="20" t="inlineStr">
        <is>
          <t>LampState, LightAlive, DiagnosticState</t>
        </is>
      </c>
      <c r="K34" s="20" t="inlineStr">
        <is>
          <t>Alive policy / status response</t>
        </is>
      </c>
      <c r="L34" s="20" t="inlineStr">
        <is>
          <t>HB §6.1; ARCH §8.2</t>
        </is>
      </c>
      <c r="M34" s="20" t="inlineStr">
        <is>
          <t>기준+팀 결정안</t>
        </is>
      </c>
      <c r="N34" s="20" t="inlineStr">
        <is>
          <t>상대 담당자 리뷰 필요</t>
        </is>
      </c>
    </row>
    <row r="35" ht="42" customHeight="1">
      <c r="A35" s="20" t="inlineStr">
        <is>
          <t>LIN</t>
        </is>
      </c>
      <c r="B35" s="20" t="inlineStr">
        <is>
          <t>Window_Command</t>
        </is>
      </c>
      <c r="C35" s="20" t="inlineStr">
        <is>
          <t>0x14 (hex)</t>
        </is>
      </c>
      <c r="D35" s="20" t="inlineStr">
        <is>
          <t>PID</t>
        </is>
      </c>
      <c r="E35" s="20" t="n">
        <v>1</v>
      </c>
      <c r="F35" s="20" t="inlineStr">
        <is>
          <t>Scheduled</t>
        </is>
      </c>
      <c r="G35" s="35" t="n">
        <v>100</v>
      </c>
      <c r="H35" s="20" t="inlineStr">
        <is>
          <t>Gateway</t>
        </is>
      </c>
      <c r="I35" s="20" t="inlineStr">
        <is>
          <t>Window</t>
        </is>
      </c>
      <c r="J35" s="20" t="inlineStr">
        <is>
          <t>WindowCommand (STOP/UP/DOWN)</t>
        </is>
      </c>
      <c r="K35" s="20" t="inlineStr">
        <is>
          <t>Window slot 10 ms; command 100 ms; Local Command Timeout → Motor STOP (POL-009, SYS_REQ_059)</t>
        </is>
      </c>
      <c r="L35" s="20" t="inlineStr">
        <is>
          <t>ARCH §8.2-8.3; Team Encoding</t>
        </is>
      </c>
      <c r="M35" s="20" t="inlineStr">
        <is>
          <t>팀 결정안</t>
        </is>
      </c>
      <c r="N35" s="20" t="inlineStr">
        <is>
          <t>상대 담당자 리뷰 필요</t>
        </is>
      </c>
    </row>
    <row r="36" ht="42" customHeight="1">
      <c r="A36" s="20" t="inlineStr">
        <is>
          <t>LIN</t>
        </is>
      </c>
      <c r="B36" s="20" t="inlineStr">
        <is>
          <t>Window_Status</t>
        </is>
      </c>
      <c r="C36" s="20" t="inlineStr">
        <is>
          <t>0x15 (hex)</t>
        </is>
      </c>
      <c r="D36" s="20" t="inlineStr">
        <is>
          <t>PID</t>
        </is>
      </c>
      <c r="E36" s="20" t="n">
        <v>2</v>
      </c>
      <c r="F36" s="20" t="inlineStr">
        <is>
          <t>Scheduled</t>
        </is>
      </c>
      <c r="G36" s="35" t="n">
        <v>100</v>
      </c>
      <c r="H36" s="20" t="inlineStr">
        <is>
          <t>Window</t>
        </is>
      </c>
      <c r="I36" s="20" t="inlineStr">
        <is>
          <t>Gateway</t>
        </is>
      </c>
      <c r="J36" s="20" t="inlineStr">
        <is>
          <t>WindowState, UpperLimit, LowerLimit, MotorState, WindowAlive</t>
        </is>
      </c>
      <c r="K36" s="20" t="inlineStr">
        <is>
          <t>2-cycle no response</t>
        </is>
      </c>
      <c r="L36" s="20" t="inlineStr">
        <is>
          <t>ARCH §8.2-8.3; Team Encoding</t>
        </is>
      </c>
      <c r="M36" s="20" t="inlineStr">
        <is>
          <t>팀 결정안</t>
        </is>
      </c>
      <c r="N36" s="20" t="inlineStr">
        <is>
          <t>상대 담당자 리뷰 필요</t>
        </is>
      </c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</row>
    <row r="38" ht="36" customHeight="1">
      <c r="A38" s="18" t="inlineStr">
        <is>
          <t>Source rule: CAN/LIN Matrix는 참고용이며 본 Workbook의 FIX Interface와 05 요구사항 Baseline을 덮어쓰지 않습니다. 변경은 Jira Issue → 기준 산출물(02/05) 갱신 → 상대 담당자 리뷰 → DBC/LDF → Firmware/PC Tool/Test → Evidence 순으로 추적합니다. Matrix는 필요 시 참고용 동기화 산출물로 갱신합니다.</t>
        </is>
      </c>
    </row>
    <row r="39" ht="38" customHeight="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</row>
  </sheetData>
  <mergeCells count="8">
    <mergeCell ref="A38:N39"/>
    <mergeCell ref="A18:N18"/>
    <mergeCell ref="A21:H21"/>
    <mergeCell ref="A12:N12"/>
    <mergeCell ref="A4:N4"/>
    <mergeCell ref="A2:N2"/>
    <mergeCell ref="A23:N23"/>
    <mergeCell ref="A1:N1"/>
  </mergeCells>
  <conditionalFormatting sqref="M25:M36">
    <cfRule type="containsText" priority="1" operator="containsText" dxfId="4" text="TBD"/>
    <cfRule type="containsText" priority="2" operator="containsText" dxfId="0" text="리뷰"/>
    <cfRule type="containsText" priority="3" operator="containsText" dxfId="2" text="확정"/>
  </conditionalFormatting>
  <conditionalFormatting sqref="N25:N36">
    <cfRule type="containsText" priority="4" operator="containsText" dxfId="0" text="리뷰"/>
  </conditionalFormatting>
  <dataValidations count="2">
    <dataValidation sqref="M25:M36" showDropDown="0" showInputMessage="0" showErrorMessage="0" allowBlank="0" type="list">
      <formula1>"기준 문서 반영,기준 예시,확정,TBD/Open,초안"</formula1>
    </dataValidation>
    <dataValidation sqref="N25:N36" showDropDown="0" showInputMessage="0" showErrorMessage="0" allowBlank="0" type="list">
      <formula1>"없음,담당자 확인,상대 담당자 리뷰 필요"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FF94A3B8"/>
    <outlinePr summaryBelow="1" summaryRight="1"/>
    <pageSetUpPr/>
  </sheetPr>
  <dimension ref="A1:P80"/>
  <sheetViews>
    <sheetView zoomScale="85" zoomScaleNormal="85" workbookViewId="0">
      <pane xSplit="2" ySplit="5" topLeftCell="C11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RowHeight="14"/>
  <cols>
    <col width="18" customWidth="1" min="1" max="1"/>
    <col width="19" customWidth="1" min="2" max="2"/>
    <col width="17.75" bestFit="1" customWidth="1" min="3" max="3"/>
    <col width="38" bestFit="1" customWidth="1" min="4" max="4"/>
    <col width="10.5" bestFit="1" customWidth="1" min="5" max="8"/>
    <col width="21.08203125" bestFit="1" customWidth="1" min="9" max="9"/>
    <col width="33.5" bestFit="1" customWidth="1" min="10" max="10"/>
    <col width="17" customWidth="1" min="11" max="11"/>
    <col width="24" customWidth="1" min="12" max="13"/>
    <col width="25" customWidth="1" min="14" max="14"/>
    <col width="17" customWidth="1" min="15" max="15"/>
    <col width="23" customWidth="1" min="16" max="16"/>
  </cols>
  <sheetData>
    <row r="1" ht="27" customHeight="1">
      <c r="A1" s="21" t="inlineStr">
        <is>
          <t>CAN Message Definition</t>
        </is>
      </c>
    </row>
    <row r="2" ht="34" customHeight="1">
      <c r="A2" s="22" t="inlineStr">
        <is>
          <t>CAN ID/DLC/주기와 Signal Interface는 본 Workbook FIX 및 05 요구사항 Baseline을 기준으로 관리합니다. CAN_Matrix.xlsx는 참고용이며 vehicle.dbc는 구현/배포용 파생 산출물로 동일 값에 동기화합니다.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</row>
    <row r="4" ht="22" customHeight="1">
      <c r="A4" s="19" t="inlineStr">
        <is>
          <t>Message header / transport</t>
        </is>
      </c>
    </row>
    <row r="5" ht="30" customHeight="1">
      <c r="A5" s="9" t="inlineStr">
        <is>
          <t>Group</t>
        </is>
      </c>
      <c r="B5" s="9" t="inlineStr">
        <is>
          <t>Message Name</t>
        </is>
      </c>
      <c r="C5" s="9" t="inlineStr">
        <is>
          <t>CAN ID</t>
        </is>
      </c>
      <c r="D5" s="9" t="inlineStr">
        <is>
          <t>ID Format</t>
        </is>
      </c>
      <c r="E5" s="9" t="inlineStr">
        <is>
          <t>DLC</t>
        </is>
      </c>
      <c r="F5" s="9" t="inlineStr">
        <is>
          <t>Tx Type</t>
        </is>
      </c>
      <c r="G5" s="9" t="inlineStr">
        <is>
          <t>Cycle Time (ms)</t>
        </is>
      </c>
      <c r="H5" s="9" t="inlineStr">
        <is>
          <t>Transmitter</t>
        </is>
      </c>
      <c r="I5" s="9" t="inlineStr">
        <is>
          <t>Receiver</t>
        </is>
      </c>
      <c r="J5" s="9" t="inlineStr">
        <is>
          <t>Purpose</t>
        </is>
      </c>
      <c r="K5" s="9" t="inlineStr">
        <is>
          <t>Alive Counter</t>
        </is>
      </c>
      <c r="L5" s="9" t="inlineStr">
        <is>
          <t>Timeout / Invalid</t>
        </is>
      </c>
      <c r="M5" s="9" t="inlineStr">
        <is>
          <t>Related Requirement</t>
        </is>
      </c>
      <c r="N5" s="9" t="inlineStr">
        <is>
          <t>DBC / Matrix Link</t>
        </is>
      </c>
      <c r="O5" s="9" t="inlineStr">
        <is>
          <t>Status</t>
        </is>
      </c>
      <c r="P5" s="9" t="inlineStr">
        <is>
          <t>Review</t>
        </is>
      </c>
    </row>
    <row r="6" ht="44" customHeight="1">
      <c r="A6" s="20" t="inlineStr">
        <is>
          <t>Vehicle / Powertrain</t>
        </is>
      </c>
      <c r="B6" s="20" t="inlineStr">
        <is>
          <t>VCU_Command</t>
        </is>
      </c>
      <c r="C6" s="20" t="inlineStr">
        <is>
          <t>0x100 (hex)</t>
        </is>
      </c>
      <c r="D6" s="20" t="inlineStr">
        <is>
          <t>Standard</t>
        </is>
      </c>
      <c r="E6" s="20" t="n">
        <v>8</v>
      </c>
      <c r="F6" s="20" t="inlineStr">
        <is>
          <t>Cyclic</t>
        </is>
      </c>
      <c r="G6" s="35" t="n">
        <v>10</v>
      </c>
      <c r="H6" s="20" t="inlineStr">
        <is>
          <t>VCU</t>
        </is>
      </c>
      <c r="I6" s="20" t="inlineStr">
        <is>
          <t>Motor / Gateway / Cluster</t>
        </is>
      </c>
      <c r="J6" s="20" t="inlineStr">
        <is>
          <t>TorqueRequest, Gear, Brake, AliveCounter 전달</t>
        </is>
      </c>
      <c r="K6" s="20" t="inlineStr">
        <is>
          <t>4 bit / 0-15 wrap</t>
        </is>
      </c>
      <c r="L6" s="20" t="inlineStr">
        <is>
          <t>Age &gt; 30 ms → VCU_TIMEOUT</t>
        </is>
      </c>
      <c r="M6" s="20" t="inlineStr">
        <is>
          <t>SYS_REQ_003, SYS_REQ_020, SYS_REQ_022-023</t>
        </is>
      </c>
      <c r="N6" s="20" t="inlineStr">
        <is>
          <t>vehicle.dbc / CAN_Matrix.xlsx</t>
        </is>
      </c>
      <c r="O6" s="20" t="inlineStr">
        <is>
          <t>기준 문서 반영</t>
        </is>
      </c>
      <c r="P6" s="20" t="inlineStr">
        <is>
          <t>담당자 확인</t>
        </is>
      </c>
    </row>
    <row r="7" ht="44" customHeight="1">
      <c r="A7" s="20" t="inlineStr">
        <is>
          <t>Vehicle / Powertrain</t>
        </is>
      </c>
      <c r="B7" s="20" t="inlineStr">
        <is>
          <t>Motor_Status</t>
        </is>
      </c>
      <c r="C7" s="20" t="inlineStr">
        <is>
          <t>0x110 (hex)</t>
        </is>
      </c>
      <c r="D7" s="20" t="inlineStr">
        <is>
          <t>Standard</t>
        </is>
      </c>
      <c r="E7" s="20" t="n">
        <v>8</v>
      </c>
      <c r="F7" s="20" t="inlineStr">
        <is>
          <t>Cyclic</t>
        </is>
      </c>
      <c r="G7" s="35" t="n">
        <v>10</v>
      </c>
      <c r="H7" s="20" t="inlineStr">
        <is>
          <t>Motor</t>
        </is>
      </c>
      <c r="I7" s="20" t="inlineStr">
        <is>
          <t>VCU / Gateway / Cluster</t>
        </is>
      </c>
      <c r="J7" s="20" t="inlineStr">
        <is>
          <t>RPM, TorqueApplied, MotorState, AliveCounter 전달</t>
        </is>
      </c>
      <c r="K7" s="20" t="inlineStr">
        <is>
          <t>4 bit / 0-15 wrap</t>
        </is>
      </c>
      <c r="L7" s="20" t="inlineStr">
        <is>
          <t>Alive discontinuity → ALIVE_ERROR / DEGRADED (Team classification)</t>
        </is>
      </c>
      <c r="M7" s="20" t="inlineStr">
        <is>
          <t>SYS_REQ_004, SYS_REQ_022</t>
        </is>
      </c>
      <c r="N7" s="20" t="inlineStr">
        <is>
          <t>vehicle.dbc / CAN_Matrix.xlsx</t>
        </is>
      </c>
      <c r="O7" s="20" t="inlineStr">
        <is>
          <t>기준 문서 반영</t>
        </is>
      </c>
      <c r="P7" s="20" t="inlineStr">
        <is>
          <t>담당자 확인</t>
        </is>
      </c>
    </row>
    <row r="8" ht="44" customHeight="1">
      <c r="A8" s="20" t="inlineStr">
        <is>
          <t>Vehicle / Status</t>
        </is>
      </c>
      <c r="B8" s="20" t="inlineStr">
        <is>
          <t>Vehicle_Status</t>
        </is>
      </c>
      <c r="C8" s="20" t="inlineStr">
        <is>
          <t>0x120 (hex)</t>
        </is>
      </c>
      <c r="D8" s="20" t="inlineStr">
        <is>
          <t>Standard</t>
        </is>
      </c>
      <c r="E8" s="20" t="n">
        <v>8</v>
      </c>
      <c r="F8" s="20" t="inlineStr">
        <is>
          <t>Cyclic</t>
        </is>
      </c>
      <c r="G8" s="35" t="n">
        <v>20</v>
      </c>
      <c r="H8" s="20" t="inlineStr">
        <is>
          <t>Gateway</t>
        </is>
      </c>
      <c r="I8" s="20" t="inlineStr">
        <is>
          <t>Cluster / PC</t>
        </is>
      </c>
      <c r="J8" s="20" t="inlineStr">
        <is>
          <t>Speed, RPM, Gear, Brake, network state 전달</t>
        </is>
      </c>
      <c r="K8" s="20" t="inlineStr">
        <is>
          <t>N/A</t>
        </is>
      </c>
      <c r="L8" s="20" t="inlineStr">
        <is>
          <t>Gateway source health 적용</t>
        </is>
      </c>
      <c r="M8" s="20" t="inlineStr">
        <is>
          <t>SYS_REQ_007, SYS_REQ_015</t>
        </is>
      </c>
      <c r="N8" s="20" t="inlineStr">
        <is>
          <t>vehicle.dbc / CAN_Matrix.xlsx</t>
        </is>
      </c>
      <c r="O8" s="20" t="inlineStr">
        <is>
          <t>기준 문서 반영</t>
        </is>
      </c>
      <c r="P8" s="20" t="inlineStr">
        <is>
          <t>담당자 확인</t>
        </is>
      </c>
    </row>
    <row r="9" ht="44" customHeight="1">
      <c r="A9" s="20" t="inlineStr">
        <is>
          <t>Body / Status</t>
        </is>
      </c>
      <c r="B9" s="20" t="inlineStr">
        <is>
          <t>Body_Status</t>
        </is>
      </c>
      <c r="C9" s="20" t="inlineStr">
        <is>
          <t>0x200 (hex)</t>
        </is>
      </c>
      <c r="D9" s="20" t="inlineStr">
        <is>
          <t>Standard</t>
        </is>
      </c>
      <c r="E9" s="20" t="n">
        <v>8</v>
      </c>
      <c r="F9" s="20" t="inlineStr">
        <is>
          <t>Cyclic</t>
        </is>
      </c>
      <c r="G9" s="35" t="n">
        <v>100</v>
      </c>
      <c r="H9" s="20" t="inlineStr">
        <is>
          <t>Gateway</t>
        </is>
      </c>
      <c r="I9" s="20" t="inlineStr">
        <is>
          <t>Cluster / PC</t>
        </is>
      </c>
      <c r="J9" s="20" t="inlineStr">
        <is>
          <t>Door / Light / Window status, ReverseLamp, DoorOpen 전달</t>
        </is>
      </c>
      <c r="K9" s="20" t="inlineStr">
        <is>
          <t>N/A</t>
        </is>
      </c>
      <c r="L9" s="20" t="inlineStr">
        <is>
          <t>LIN source health 적용</t>
        </is>
      </c>
      <c r="M9" s="20" t="inlineStr">
        <is>
          <t>SYS_REQ_005-006, SYS_REQ_016, SYS_REQ_021</t>
        </is>
      </c>
      <c r="N9" s="20" t="inlineStr">
        <is>
          <t>vehicle.dbc / CAN_Matrix.xlsx</t>
        </is>
      </c>
      <c r="O9" s="20" t="inlineStr">
        <is>
          <t>기준 문서 반영</t>
        </is>
      </c>
      <c r="P9" s="20" t="inlineStr">
        <is>
          <t>담당자 확인</t>
        </is>
      </c>
    </row>
    <row r="10" ht="44" customHeight="1">
      <c r="A10" s="20" t="inlineStr">
        <is>
          <t>Gateway / Health</t>
        </is>
      </c>
      <c r="B10" s="20" t="inlineStr">
        <is>
          <t>Gateway_Status</t>
        </is>
      </c>
      <c r="C10" s="20" t="inlineStr">
        <is>
          <t>0x300 (hex)</t>
        </is>
      </c>
      <c r="D10" s="20" t="inlineStr">
        <is>
          <t>Standard</t>
        </is>
      </c>
      <c r="E10" s="20" t="n">
        <v>8</v>
      </c>
      <c r="F10" s="20" t="inlineStr">
        <is>
          <t>Cyclic</t>
        </is>
      </c>
      <c r="G10" s="35" t="n">
        <v>100</v>
      </c>
      <c r="H10" s="20" t="inlineStr">
        <is>
          <t>Gateway</t>
        </is>
      </c>
      <c r="I10" s="20" t="inlineStr">
        <is>
          <t>All / PC</t>
        </is>
      </c>
      <c r="J10" s="20" t="inlineStr">
        <is>
          <t>Gateway Health, Queue usage, Alive 전달</t>
        </is>
      </c>
      <c r="K10" s="20" t="inlineStr">
        <is>
          <t>4 bit / 0-15 wrap</t>
        </is>
      </c>
      <c r="L10" s="20" t="inlineStr">
        <is>
          <t>Queue health / alive policy</t>
        </is>
      </c>
      <c r="M10" s="20" t="inlineStr">
        <is>
          <t>SYS_REQ_017, SYS_REQ_029-031</t>
        </is>
      </c>
      <c r="N10" s="20" t="inlineStr">
        <is>
          <t>vehicle.dbc / CAN_Matrix.xlsx</t>
        </is>
      </c>
      <c r="O10" s="20" t="inlineStr">
        <is>
          <t>기준+팀 결정안</t>
        </is>
      </c>
      <c r="P10" s="20" t="inlineStr">
        <is>
          <t>상대 담당자 리뷰 필요</t>
        </is>
      </c>
    </row>
    <row r="11" ht="44" customHeight="1">
      <c r="A11" s="20" t="inlineStr">
        <is>
          <t>Gateway / Fault</t>
        </is>
      </c>
      <c r="B11" s="20" t="inlineStr">
        <is>
          <t>Fault_Status</t>
        </is>
      </c>
      <c r="C11" s="20" t="inlineStr">
        <is>
          <t>0x310 (hex)</t>
        </is>
      </c>
      <c r="D11" s="20" t="inlineStr">
        <is>
          <t>Standard</t>
        </is>
      </c>
      <c r="E11" s="20" t="n">
        <v>8</v>
      </c>
      <c r="F11" s="20" t="inlineStr">
        <is>
          <t>Event</t>
        </is>
      </c>
      <c r="G11" s="8" t="inlineStr">
        <is>
          <t>event</t>
        </is>
      </c>
      <c r="H11" s="20" t="inlineStr">
        <is>
          <t>Gateway</t>
        </is>
      </c>
      <c r="I11" s="20" t="inlineStr">
        <is>
          <t>Cluster / PC</t>
        </is>
      </c>
      <c r="J11" s="20" t="inlineStr">
        <is>
          <t>FaultCode, ECUOffline, RecoveryState, SystemState 전달</t>
        </is>
      </c>
      <c r="K11" s="20" t="inlineStr">
        <is>
          <t>N/A</t>
        </is>
      </c>
      <c r="L11" s="20" t="inlineStr">
        <is>
          <t>ACTIVE↔CLEARED 전이 시 Event; Event 1건당 Fault 전이 1건</t>
        </is>
      </c>
      <c r="M11" s="20" t="inlineStr">
        <is>
          <t>SYS_REQ_018, SYS_REQ_025-026, SYS_REQ_050-058</t>
        </is>
      </c>
      <c r="N11" s="20" t="inlineStr">
        <is>
          <t>vehicle.dbc / CAN_Matrix.xlsx</t>
        </is>
      </c>
      <c r="O11" s="20" t="inlineStr">
        <is>
          <t>기준+팀 결정안</t>
        </is>
      </c>
      <c r="P11" s="20" t="inlineStr">
        <is>
          <t>상대 담당자 리뷰 필요</t>
        </is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</row>
    <row r="13" ht="22" customHeight="1">
      <c r="A13" s="23" t="inlineStr">
        <is>
          <t>CAN Byte / Bit map (8-byte view)</t>
        </is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</row>
    <row r="14" ht="30" customHeight="1">
      <c r="A14" s="9" t="inlineStr">
        <is>
          <t>Message Name</t>
        </is>
      </c>
      <c r="B14" s="9" t="inlineStr">
        <is>
          <t>Byte 0</t>
        </is>
      </c>
      <c r="C14" s="9" t="inlineStr">
        <is>
          <t>Byte 1</t>
        </is>
      </c>
      <c r="D14" s="9" t="inlineStr">
        <is>
          <t>Byte 2</t>
        </is>
      </c>
      <c r="E14" s="9" t="inlineStr">
        <is>
          <t>Byte 3</t>
        </is>
      </c>
      <c r="F14" s="9" t="inlineStr">
        <is>
          <t>Byte 4</t>
        </is>
      </c>
      <c r="G14" s="9" t="inlineStr">
        <is>
          <t>Byte 5</t>
        </is>
      </c>
      <c r="H14" s="9" t="inlineStr">
        <is>
          <t>Byte 6</t>
        </is>
      </c>
      <c r="I14" s="9" t="inlineStr">
        <is>
          <t>Byte 7</t>
        </is>
      </c>
      <c r="J14" s="9" t="inlineStr">
        <is>
          <t>Map Status</t>
        </is>
      </c>
      <c r="K14" s="27" t="n"/>
      <c r="L14" s="27" t="n"/>
      <c r="M14" s="27" t="n"/>
      <c r="N14" s="27" t="n"/>
      <c r="O14" s="27" t="n"/>
      <c r="P14" s="27" t="n"/>
    </row>
    <row r="15" ht="44" customHeight="1">
      <c r="A15" s="20" t="inlineStr">
        <is>
          <t>VCU_Command</t>
        </is>
      </c>
      <c r="B15" s="20" t="inlineStr">
        <is>
          <t>TorqueRequest [7:0]</t>
        </is>
      </c>
      <c r="C15" s="20" t="inlineStr">
        <is>
          <t>TorqueRequest [15:8]</t>
        </is>
      </c>
      <c r="D15" s="20" t="inlineStr">
        <is>
          <t>Gear [2:0] / Brake [3] / AliveCounter [7:4]</t>
        </is>
      </c>
      <c r="E15" s="20" t="inlineStr">
        <is>
          <t>Reserved</t>
        </is>
      </c>
      <c r="F15" s="20" t="inlineStr">
        <is>
          <t>Reserved</t>
        </is>
      </c>
      <c r="G15" s="20" t="inlineStr">
        <is>
          <t>Reserved</t>
        </is>
      </c>
      <c r="H15" s="20" t="inlineStr">
        <is>
          <t>Reserved</t>
        </is>
      </c>
      <c r="I15" s="20" t="inlineStr">
        <is>
          <t>Reserved</t>
        </is>
      </c>
      <c r="J15" s="14" t="inlineStr">
        <is>
          <t>팀 신규 결정 / Interface Review</t>
        </is>
      </c>
      <c r="K15" s="27" t="n"/>
      <c r="L15" s="27" t="n"/>
      <c r="M15" s="27" t="n"/>
      <c r="N15" s="27" t="n"/>
      <c r="O15" s="27" t="n"/>
      <c r="P15" s="27" t="n"/>
    </row>
    <row r="16" ht="44" customHeight="1">
      <c r="A16" s="20" t="inlineStr">
        <is>
          <t>Motor_Status</t>
        </is>
      </c>
      <c r="B16" s="20" t="inlineStr">
        <is>
          <t>RPM [7:0]</t>
        </is>
      </c>
      <c r="C16" s="20" t="inlineStr">
        <is>
          <t>RPM [15:8]</t>
        </is>
      </c>
      <c r="D16" s="20" t="inlineStr">
        <is>
          <t>TorqueApplied [7:0]</t>
        </is>
      </c>
      <c r="E16" s="20" t="inlineStr">
        <is>
          <t>TorqueApplied [15:8]</t>
        </is>
      </c>
      <c r="F16" s="20" t="inlineStr">
        <is>
          <t>MotorState [1:0] / AliveCounter [5:2] / Reserved [7:6]</t>
        </is>
      </c>
      <c r="G16" s="20" t="inlineStr">
        <is>
          <t>Reserved</t>
        </is>
      </c>
      <c r="H16" s="20" t="inlineStr">
        <is>
          <t>Reserved</t>
        </is>
      </c>
      <c r="I16" s="20" t="inlineStr">
        <is>
          <t>Reserved</t>
        </is>
      </c>
      <c r="J16" s="14" t="inlineStr">
        <is>
          <t>팀 신규 결정 / Interface Review</t>
        </is>
      </c>
      <c r="K16" s="27" t="n"/>
      <c r="L16" s="27" t="n"/>
      <c r="M16" s="27" t="n"/>
      <c r="N16" s="27" t="n"/>
      <c r="O16" s="27" t="n"/>
      <c r="P16" s="27" t="n"/>
    </row>
    <row r="17" ht="44" customHeight="1">
      <c r="A17" s="20" t="inlineStr">
        <is>
          <t>Vehicle_Status</t>
        </is>
      </c>
      <c r="B17" s="20" t="inlineStr">
        <is>
          <t>Speed [7:0]</t>
        </is>
      </c>
      <c r="C17" s="20" t="inlineStr">
        <is>
          <t>Speed [15:8]</t>
        </is>
      </c>
      <c r="D17" s="20" t="inlineStr">
        <is>
          <t>RPM [7:0]</t>
        </is>
      </c>
      <c r="E17" s="20" t="inlineStr">
        <is>
          <t>RPM [15:8]</t>
        </is>
      </c>
      <c r="F17" s="20" t="inlineStr">
        <is>
          <t>Gear [2:0] / Brake [3] / NetworkState [5:4] / Reserved [7:6]</t>
        </is>
      </c>
      <c r="G17" s="20" t="inlineStr">
        <is>
          <t>Reserved</t>
        </is>
      </c>
      <c r="H17" s="20" t="inlineStr">
        <is>
          <t>Reserved</t>
        </is>
      </c>
      <c r="I17" s="20" t="inlineStr">
        <is>
          <t>Reserved</t>
        </is>
      </c>
      <c r="J17" s="14" t="inlineStr">
        <is>
          <t>팀 신규 결정 / Interface Review</t>
        </is>
      </c>
      <c r="K17" s="27" t="n"/>
      <c r="L17" s="27" t="n"/>
      <c r="M17" s="27" t="n"/>
      <c r="N17" s="27" t="n"/>
      <c r="O17" s="27" t="n"/>
      <c r="P17" s="27" t="n"/>
    </row>
    <row r="18" ht="44" customHeight="1">
      <c r="A18" s="20" t="inlineStr">
        <is>
          <t>Body_Status</t>
        </is>
      </c>
      <c r="B18" s="20" t="inlineStr">
        <is>
          <t>ReverseLamp [0] / DoorOpen [1] / Reserved [7:2]</t>
        </is>
      </c>
      <c r="C18" s="20" t="inlineStr">
        <is>
          <t>DoorStatus [7:0]</t>
        </is>
      </c>
      <c r="D18" s="20" t="inlineStr">
        <is>
          <t>LightStatus [7:0]</t>
        </is>
      </c>
      <c r="E18" s="20" t="inlineStr">
        <is>
          <t>WindowStatus [7:0]</t>
        </is>
      </c>
      <c r="F18" s="20" t="inlineStr">
        <is>
          <t>Reserved</t>
        </is>
      </c>
      <c r="G18" s="20" t="inlineStr">
        <is>
          <t>Reserved</t>
        </is>
      </c>
      <c r="H18" s="20" t="inlineStr">
        <is>
          <t>Reserved</t>
        </is>
      </c>
      <c r="I18" s="20" t="inlineStr">
        <is>
          <t>Reserved</t>
        </is>
      </c>
      <c r="J18" s="14" t="inlineStr">
        <is>
          <t>팀 신규 결정 / Interface Review</t>
        </is>
      </c>
      <c r="K18" s="27" t="n"/>
      <c r="L18" s="27" t="n"/>
      <c r="M18" s="27" t="n"/>
      <c r="N18" s="27" t="n"/>
      <c r="O18" s="27" t="n"/>
      <c r="P18" s="27" t="n"/>
    </row>
    <row r="19" ht="44" customHeight="1">
      <c r="A19" s="20" t="inlineStr">
        <is>
          <t>Gateway_Status</t>
        </is>
      </c>
      <c r="B19" s="20" t="inlineStr">
        <is>
          <t>GatewayAlive [3:0] / Reserved [7:4]</t>
        </is>
      </c>
      <c r="C19" s="20" t="inlineStr">
        <is>
          <t>QueueUsage [7:0]</t>
        </is>
      </c>
      <c r="D19" s="20" t="inlineStr">
        <is>
          <t>Reserved</t>
        </is>
      </c>
      <c r="E19" s="20" t="inlineStr">
        <is>
          <t>Reserved</t>
        </is>
      </c>
      <c r="F19" s="20" t="inlineStr">
        <is>
          <t>Reserved</t>
        </is>
      </c>
      <c r="G19" s="20" t="inlineStr">
        <is>
          <t>Reserved</t>
        </is>
      </c>
      <c r="H19" s="20" t="inlineStr">
        <is>
          <t>Reserved</t>
        </is>
      </c>
      <c r="I19" s="20" t="inlineStr">
        <is>
          <t>Reserved</t>
        </is>
      </c>
      <c r="J19" s="15" t="inlineStr">
        <is>
          <t>GatewayAlive=핸드북 예시 / QueueUsage=팀 신규 결정</t>
        </is>
      </c>
      <c r="K19" s="27" t="n"/>
      <c r="L19" s="27" t="n"/>
      <c r="M19" s="27" t="n"/>
      <c r="N19" s="27" t="n"/>
      <c r="O19" s="27" t="n"/>
      <c r="P19" s="27" t="n"/>
    </row>
    <row r="20" ht="44" customHeight="1">
      <c r="A20" s="20" t="inlineStr">
        <is>
          <t>Fault_Status</t>
        </is>
      </c>
      <c r="B20" s="20" t="inlineStr">
        <is>
          <t>FaultCode [7:0]</t>
        </is>
      </c>
      <c r="C20" s="20" t="inlineStr">
        <is>
          <t>ECUOffline [3:0] / RecoveryState [4] / SystemState [6:5] / Reserved [7]</t>
        </is>
      </c>
      <c r="D20" s="20" t="inlineStr">
        <is>
          <t>Reserved</t>
        </is>
      </c>
      <c r="E20" s="20" t="inlineStr">
        <is>
          <t>Reserved</t>
        </is>
      </c>
      <c r="F20" s="20" t="inlineStr">
        <is>
          <t>Reserved</t>
        </is>
      </c>
      <c r="G20" s="20" t="inlineStr">
        <is>
          <t>Reserved</t>
        </is>
      </c>
      <c r="H20" s="20" t="inlineStr">
        <is>
          <t>Reserved</t>
        </is>
      </c>
      <c r="I20" s="20" t="inlineStr">
        <is>
          <t>Reserved</t>
        </is>
      </c>
      <c r="J20" s="16" t="inlineStr">
        <is>
          <t>팀 신규 결정 / Interface Review</t>
        </is>
      </c>
      <c r="K20" s="27" t="n"/>
      <c r="L20" s="27" t="n"/>
      <c r="M20" s="27" t="n"/>
      <c r="N20" s="27" t="n"/>
      <c r="O20" s="27" t="n"/>
      <c r="P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</row>
    <row r="22" ht="36" customHeight="1">
      <c r="A22" s="18" t="inlineStr">
        <is>
          <t>Bit map 사용 원칙: Start Bit/Length/Byte Order는 CAN_Signal_Definition을 기준 표로 사용합니다. Byte/Bit view는 보조 뷰입니다. Matrix는 참고용이며 구현은 FIX Interface와 이에 동기화된 DBC를 기준으로 합니다.</t>
        </is>
      </c>
    </row>
    <row r="23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</row>
  </sheetData>
  <mergeCells count="5">
    <mergeCell ref="A13:P13"/>
    <mergeCell ref="A1:P1"/>
    <mergeCell ref="A4:P4"/>
    <mergeCell ref="A22:P23"/>
    <mergeCell ref="A2:P2"/>
  </mergeCells>
  <conditionalFormatting sqref="O6:O11">
    <cfRule type="containsText" priority="1" operator="containsText" dxfId="4" text="TBD"/>
    <cfRule type="containsText" priority="2" operator="containsText" dxfId="0" text="리뷰"/>
    <cfRule type="containsText" priority="3" operator="containsText" dxfId="2" text="확정"/>
  </conditionalFormatting>
  <conditionalFormatting sqref="P6:P11">
    <cfRule type="containsText" priority="4" operator="containsText" dxfId="0" text="리뷰"/>
  </conditionalFormatting>
  <dataValidations disablePrompts="1" count="2">
    <dataValidation sqref="O6:O11" showDropDown="0" showInputMessage="0" showErrorMessage="0" allowBlank="0" type="list">
      <formula1>"기준 문서 반영,기준 예시,확정,TBD/Open,초안"</formula1>
    </dataValidation>
    <dataValidation sqref="P6:P11" showDropDown="0" showInputMessage="0" showErrorMessage="0" allowBlank="0" type="list">
      <formula1>"없음,담당자 확인,상대 담당자 리뷰 필요"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FF94A3B8"/>
    <outlinePr summaryBelow="1" summaryRight="1"/>
    <pageSetUpPr/>
  </sheetPr>
  <dimension ref="A1:U80"/>
  <sheetViews>
    <sheetView zoomScale="85" zoomScaleNormal="8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O29" sqref="O29"/>
    </sheetView>
  </sheetViews>
  <sheetFormatPr baseColWidth="8" defaultRowHeight="14"/>
  <cols>
    <col width="25" customWidth="1" min="1" max="1"/>
    <col width="18" customWidth="1" min="2" max="2"/>
    <col width="19" customWidth="1" min="3" max="3"/>
    <col width="10" customWidth="1" min="4" max="4"/>
    <col width="9" customWidth="1" min="5" max="5"/>
    <col width="11" customWidth="1" min="6" max="6"/>
    <col width="12" customWidth="1" min="7" max="7"/>
    <col width="9" customWidth="1" min="8" max="11"/>
    <col width="12" customWidth="1" min="12" max="12"/>
    <col width="10" customWidth="1" min="13" max="13"/>
    <col width="11" customWidth="1" min="14" max="14"/>
    <col width="14" customWidth="1" min="15" max="15"/>
    <col width="23" customWidth="1" min="16" max="16"/>
    <col width="17" customWidth="1" min="17" max="17"/>
    <col width="25" customWidth="1" min="18" max="18"/>
    <col width="15" customWidth="1" min="19" max="19"/>
    <col width="23" customWidth="1" min="20" max="21"/>
  </cols>
  <sheetData>
    <row r="1" ht="27" customHeight="1">
      <c r="A1" s="21" t="inlineStr">
        <is>
          <t>CAN Signal Definition</t>
        </is>
      </c>
    </row>
    <row r="2" ht="34" customHeight="1">
      <c r="A2" s="22" t="inlineStr">
        <is>
          <t>모든 Signal의 Start Bit, Length, Byte Order, Factor, Offset, Min, Max, Unit, Initial, Invalid은 본 시트 FIX를 기준으로 관리합니다. CAN_Matrix.xlsx는 참고용이며 vehicle.dbc와 상대 담당자 리뷰를 통해 동일 값을 구현 산출물에 반영합니다.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</row>
    <row r="4" ht="22" customHeight="1">
      <c r="A4" s="19" t="inlineStr">
        <is>
          <t>Signal detail</t>
        </is>
      </c>
    </row>
    <row r="5" ht="30" customHeight="1">
      <c r="A5" s="9" t="inlineStr">
        <is>
          <t>Signal Key</t>
        </is>
      </c>
      <c r="B5" s="9" t="inlineStr">
        <is>
          <t>Message Name</t>
        </is>
      </c>
      <c r="C5" s="9" t="inlineStr">
        <is>
          <t>Signal Name</t>
        </is>
      </c>
      <c r="D5" s="9" t="inlineStr">
        <is>
          <t>Start Bit</t>
        </is>
      </c>
      <c r="E5" s="9" t="inlineStr">
        <is>
          <t>Length</t>
        </is>
      </c>
      <c r="F5" s="9" t="inlineStr">
        <is>
          <t>Byte Order</t>
        </is>
      </c>
      <c r="G5" s="9" t="inlineStr">
        <is>
          <t>Data Type</t>
        </is>
      </c>
      <c r="H5" s="9" t="inlineStr">
        <is>
          <t>Factor</t>
        </is>
      </c>
      <c r="I5" s="9" t="inlineStr">
        <is>
          <t>Offset</t>
        </is>
      </c>
      <c r="J5" s="9" t="inlineStr">
        <is>
          <t>Min</t>
        </is>
      </c>
      <c r="K5" s="9" t="inlineStr">
        <is>
          <t>Max</t>
        </is>
      </c>
      <c r="L5" s="9" t="inlineStr">
        <is>
          <t>Unit</t>
        </is>
      </c>
      <c r="M5" s="9" t="inlineStr">
        <is>
          <t>Initial</t>
        </is>
      </c>
      <c r="N5" s="9" t="inlineStr">
        <is>
          <t>Invalid</t>
        </is>
      </c>
      <c r="O5" s="9" t="inlineStr">
        <is>
          <t>Transmitter</t>
        </is>
      </c>
      <c r="P5" s="9" t="inlineStr">
        <is>
          <t>Receiver</t>
        </is>
      </c>
      <c r="Q5" s="9" t="inlineStr">
        <is>
          <t>Value Table</t>
        </is>
      </c>
      <c r="R5" s="9" t="inlineStr">
        <is>
          <t>Source / Trace</t>
        </is>
      </c>
      <c r="S5" s="9" t="inlineStr">
        <is>
          <t>Status</t>
        </is>
      </c>
      <c r="T5" s="9" t="inlineStr">
        <is>
          <t>Review</t>
        </is>
      </c>
      <c r="U5" s="9" t="inlineStr">
        <is>
          <t>Related Requirement</t>
        </is>
      </c>
    </row>
    <row r="6" ht="40" customHeight="1">
      <c r="A6" s="20" t="inlineStr">
        <is>
          <t>VCU_Command.TorqueRequest</t>
        </is>
      </c>
      <c r="B6" s="20" t="inlineStr">
        <is>
          <t>VCU_Command</t>
        </is>
      </c>
      <c r="C6" s="20" t="inlineStr">
        <is>
          <t>TorqueRequest</t>
        </is>
      </c>
      <c r="D6" s="20" t="n">
        <v>0</v>
      </c>
      <c r="E6" s="20" t="n">
        <v>16</v>
      </c>
      <c r="F6" s="20" t="inlineStr">
        <is>
          <t>Intel</t>
        </is>
      </c>
      <c r="G6" s="20" t="inlineStr">
        <is>
          <t>unsigned</t>
        </is>
      </c>
      <c r="H6" s="36" t="n">
        <v>0.1</v>
      </c>
      <c r="I6" s="36" t="n">
        <v>0</v>
      </c>
      <c r="J6" s="36" t="n">
        <v>0</v>
      </c>
      <c r="K6" s="36" t="n">
        <v>4000</v>
      </c>
      <c r="L6" s="20" t="inlineStr">
        <is>
          <t>Nm</t>
        </is>
      </c>
      <c r="M6" s="20" t="n">
        <v>0</v>
      </c>
      <c r="N6" s="20" t="inlineStr">
        <is>
          <t>0xFFFF (hex)</t>
        </is>
      </c>
      <c r="O6" s="20" t="inlineStr">
        <is>
          <t>VCU</t>
        </is>
      </c>
      <c r="P6" s="20" t="inlineStr">
        <is>
          <t>Motor / Gateway / Cluster</t>
        </is>
      </c>
      <c r="Q6" s="20" t="inlineStr">
        <is>
          <t>-</t>
        </is>
      </c>
      <c r="R6" s="20" t="inlineStr">
        <is>
          <t>HB §5.3 Table 5-2</t>
        </is>
      </c>
      <c r="S6" s="20" t="inlineStr">
        <is>
          <t>기준 예시</t>
        </is>
      </c>
      <c r="T6" s="20" t="inlineStr">
        <is>
          <t>상대 담당자 리뷰 필요</t>
        </is>
      </c>
      <c r="U6" s="20" t="inlineStr">
        <is>
          <t>SYS_REQ_003, SYS_REQ_020</t>
        </is>
      </c>
    </row>
    <row r="7" ht="40" customHeight="1">
      <c r="A7" s="20" t="inlineStr">
        <is>
          <t>VCU_Command.Gear</t>
        </is>
      </c>
      <c r="B7" s="20" t="inlineStr">
        <is>
          <t>VCU_Command</t>
        </is>
      </c>
      <c r="C7" s="20" t="inlineStr">
        <is>
          <t>Gear</t>
        </is>
      </c>
      <c r="D7" s="20" t="n">
        <v>16</v>
      </c>
      <c r="E7" s="20" t="n">
        <v>3</v>
      </c>
      <c r="F7" s="20" t="inlineStr">
        <is>
          <t>Intel</t>
        </is>
      </c>
      <c r="G7" s="20" t="inlineStr">
        <is>
          <t>enum</t>
        </is>
      </c>
      <c r="H7" s="36" t="n">
        <v>1</v>
      </c>
      <c r="I7" s="36" t="n">
        <v>0</v>
      </c>
      <c r="J7" s="36" t="n">
        <v>0</v>
      </c>
      <c r="K7" s="36" t="n">
        <v>5</v>
      </c>
      <c r="L7" s="20" t="inlineStr">
        <is>
          <t>enum</t>
        </is>
      </c>
      <c r="M7" s="20" t="inlineStr">
        <is>
          <t>P</t>
        </is>
      </c>
      <c r="N7" s="20" t="n">
        <v>7</v>
      </c>
      <c r="O7" s="20" t="inlineStr">
        <is>
          <t>VCU</t>
        </is>
      </c>
      <c r="P7" s="20" t="inlineStr">
        <is>
          <t>Motor / Gateway / Cluster</t>
        </is>
      </c>
      <c r="Q7" s="20" t="inlineStr">
        <is>
          <t>GEAR</t>
        </is>
      </c>
      <c r="R7" s="20" t="inlineStr">
        <is>
          <t>HB §5.3; §5.4</t>
        </is>
      </c>
      <c r="S7" s="20" t="inlineStr">
        <is>
          <t>기준 예시</t>
        </is>
      </c>
      <c r="T7" s="20" t="inlineStr">
        <is>
          <t>상대 담당자 리뷰 필요</t>
        </is>
      </c>
      <c r="U7" s="20" t="inlineStr">
        <is>
          <t>SYS_REQ_003</t>
        </is>
      </c>
    </row>
    <row r="8" ht="40" customHeight="1">
      <c r="A8" s="20" t="inlineStr">
        <is>
          <t>VCU_Command.Brake</t>
        </is>
      </c>
      <c r="B8" s="20" t="inlineStr">
        <is>
          <t>VCU_Command</t>
        </is>
      </c>
      <c r="C8" s="20" t="inlineStr">
        <is>
          <t>Brake</t>
        </is>
      </c>
      <c r="D8" s="20" t="n">
        <v>19</v>
      </c>
      <c r="E8" s="20" t="n">
        <v>1</v>
      </c>
      <c r="F8" s="20" t="inlineStr">
        <is>
          <t>Intel</t>
        </is>
      </c>
      <c r="G8" s="20" t="inlineStr">
        <is>
          <t>bool</t>
        </is>
      </c>
      <c r="H8" s="36" t="n">
        <v>1</v>
      </c>
      <c r="I8" s="36" t="n">
        <v>0</v>
      </c>
      <c r="J8" s="36" t="n">
        <v>0</v>
      </c>
      <c r="K8" s="36" t="n">
        <v>1</v>
      </c>
      <c r="L8" s="20" t="inlineStr">
        <is>
          <t>bool</t>
        </is>
      </c>
      <c r="M8" s="20" t="n">
        <v>0</v>
      </c>
      <c r="N8" s="20" t="n">
        <v>1</v>
      </c>
      <c r="O8" s="20" t="inlineStr">
        <is>
          <t>VCU</t>
        </is>
      </c>
      <c r="P8" s="20" t="inlineStr">
        <is>
          <t>Motor / Gateway / Cluster</t>
        </is>
      </c>
      <c r="Q8" s="20" t="inlineStr">
        <is>
          <t>BOOL</t>
        </is>
      </c>
      <c r="R8" s="20" t="inlineStr">
        <is>
          <t>HB §5.3 Table 5-2</t>
        </is>
      </c>
      <c r="S8" s="20" t="inlineStr">
        <is>
          <t>기준 예시</t>
        </is>
      </c>
      <c r="T8" s="20" t="inlineStr">
        <is>
          <t>상대 담당자 리뷰 필요</t>
        </is>
      </c>
      <c r="U8" s="20" t="inlineStr">
        <is>
          <t>SYS_REQ_003</t>
        </is>
      </c>
    </row>
    <row r="9" ht="40" customHeight="1">
      <c r="A9" s="20" t="inlineStr">
        <is>
          <t>VCU_Command.AliveCounter</t>
        </is>
      </c>
      <c r="B9" s="20" t="inlineStr">
        <is>
          <t>VCU_Command</t>
        </is>
      </c>
      <c r="C9" s="20" t="inlineStr">
        <is>
          <t>AliveCounter</t>
        </is>
      </c>
      <c r="D9" s="20" t="n">
        <v>20</v>
      </c>
      <c r="E9" s="20" t="n">
        <v>4</v>
      </c>
      <c r="F9" s="20" t="inlineStr">
        <is>
          <t>Intel</t>
        </is>
      </c>
      <c r="G9" s="20" t="inlineStr">
        <is>
          <t>unsigned</t>
        </is>
      </c>
      <c r="H9" s="36" t="n">
        <v>1</v>
      </c>
      <c r="I9" s="36" t="n">
        <v>0</v>
      </c>
      <c r="J9" s="36" t="n">
        <v>0</v>
      </c>
      <c r="K9" s="36" t="n">
        <v>15</v>
      </c>
      <c r="L9" s="20" t="inlineStr">
        <is>
          <t>count</t>
        </is>
      </c>
      <c r="M9" s="20" t="n">
        <v>0</v>
      </c>
      <c r="N9" s="20" t="inlineStr">
        <is>
          <t>0xF</t>
        </is>
      </c>
      <c r="O9" s="20" t="inlineStr">
        <is>
          <t>VCU</t>
        </is>
      </c>
      <c r="P9" s="20" t="inlineStr">
        <is>
          <t>Motor / Gateway / Cluster</t>
        </is>
      </c>
      <c r="Q9" s="20" t="inlineStr">
        <is>
          <t>ALIVE_COUNTER</t>
        </is>
      </c>
      <c r="R9" s="20" t="inlineStr">
        <is>
          <t>HB §5.1, §5.3; ARCH §3.D</t>
        </is>
      </c>
      <c r="S9" s="20" t="inlineStr">
        <is>
          <t>기준 예시</t>
        </is>
      </c>
      <c r="T9" s="20" t="inlineStr">
        <is>
          <t>상대 담당자 리뷰 필요</t>
        </is>
      </c>
      <c r="U9" s="20" t="inlineStr">
        <is>
          <t>SYS_REQ_022-023</t>
        </is>
      </c>
    </row>
    <row r="10" ht="40" customHeight="1">
      <c r="A10" s="20" t="inlineStr">
        <is>
          <t>Motor_Status.RPM</t>
        </is>
      </c>
      <c r="B10" s="20" t="inlineStr">
        <is>
          <t>Motor_Status</t>
        </is>
      </c>
      <c r="C10" s="20" t="inlineStr">
        <is>
          <t>RPM</t>
        </is>
      </c>
      <c r="D10" s="20" t="n">
        <v>0</v>
      </c>
      <c r="E10" s="20" t="n">
        <v>16</v>
      </c>
      <c r="F10" s="20" t="inlineStr">
        <is>
          <t>Intel</t>
        </is>
      </c>
      <c r="G10" s="20" t="inlineStr">
        <is>
          <t>unsigned</t>
        </is>
      </c>
      <c r="H10" s="36" t="n">
        <v>1</v>
      </c>
      <c r="I10" s="36" t="n">
        <v>0</v>
      </c>
      <c r="J10" s="36" t="n">
        <v>0</v>
      </c>
      <c r="K10" s="36" t="n">
        <v>12000</v>
      </c>
      <c r="L10" s="20" t="inlineStr">
        <is>
          <t>rpm</t>
        </is>
      </c>
      <c r="M10" s="20" t="n">
        <v>0</v>
      </c>
      <c r="N10" s="20" t="inlineStr">
        <is>
          <t>0xFFFF (hex)</t>
        </is>
      </c>
      <c r="O10" s="20" t="inlineStr">
        <is>
          <t>Motor</t>
        </is>
      </c>
      <c r="P10" s="20" t="inlineStr">
        <is>
          <t>VCU / Gateway / Cluster</t>
        </is>
      </c>
      <c r="Q10" s="20" t="inlineStr">
        <is>
          <t>-</t>
        </is>
      </c>
      <c r="R10" s="20" t="inlineStr">
        <is>
          <t>HB §5.3 Table 5-2</t>
        </is>
      </c>
      <c r="S10" s="20" t="inlineStr">
        <is>
          <t>기준 예시</t>
        </is>
      </c>
      <c r="T10" s="20" t="inlineStr">
        <is>
          <t>상대 담당자 리뷰 필요</t>
        </is>
      </c>
      <c r="U10" s="20" t="inlineStr">
        <is>
          <t>SYS_REQ_004</t>
        </is>
      </c>
    </row>
    <row r="11" ht="40" customHeight="1">
      <c r="A11" s="20" t="inlineStr">
        <is>
          <t>Motor_Status.TorqueApplied</t>
        </is>
      </c>
      <c r="B11" s="20" t="inlineStr">
        <is>
          <t>Motor_Status</t>
        </is>
      </c>
      <c r="C11" s="20" t="inlineStr">
        <is>
          <t>TorqueApplied</t>
        </is>
      </c>
      <c r="D11" s="20" t="n">
        <v>16</v>
      </c>
      <c r="E11" s="20" t="n">
        <v>16</v>
      </c>
      <c r="F11" s="20" t="inlineStr">
        <is>
          <t>Intel</t>
        </is>
      </c>
      <c r="G11" s="20" t="inlineStr">
        <is>
          <t>unsigned</t>
        </is>
      </c>
      <c r="H11" s="36" t="n">
        <v>0.1</v>
      </c>
      <c r="I11" s="36" t="n">
        <v>0</v>
      </c>
      <c r="J11" s="36" t="n">
        <v>0</v>
      </c>
      <c r="K11" s="36" t="n">
        <v>4000</v>
      </c>
      <c r="L11" s="20" t="inlineStr">
        <is>
          <t>Nm</t>
        </is>
      </c>
      <c r="M11" s="20" t="n">
        <v>0</v>
      </c>
      <c r="N11" s="20" t="inlineStr">
        <is>
          <t>0xFFFF (hex)</t>
        </is>
      </c>
      <c r="O11" s="20" t="inlineStr">
        <is>
          <t>Motor</t>
        </is>
      </c>
      <c r="P11" s="20" t="inlineStr">
        <is>
          <t>VCU / Gateway / Cluster</t>
        </is>
      </c>
      <c r="Q11" s="20" t="inlineStr">
        <is>
          <t>-</t>
        </is>
      </c>
      <c r="R11" s="20" t="inlineStr">
        <is>
          <t>ARCH §8.1 purpose</t>
        </is>
      </c>
      <c r="S11" s="20" t="inlineStr">
        <is>
          <t>팀 결정안</t>
        </is>
      </c>
      <c r="T11" s="20" t="inlineStr">
        <is>
          <t>상대 담당자 리뷰 필요</t>
        </is>
      </c>
      <c r="U11" s="20" t="inlineStr">
        <is>
          <t>SYS_REQ_004, SYS_REQ_024</t>
        </is>
      </c>
    </row>
    <row r="12" ht="40" customHeight="1">
      <c r="A12" s="20" t="inlineStr">
        <is>
          <t>Motor_Status.MotorState</t>
        </is>
      </c>
      <c r="B12" s="20" t="inlineStr">
        <is>
          <t>Motor_Status</t>
        </is>
      </c>
      <c r="C12" s="20" t="inlineStr">
        <is>
          <t>MotorState</t>
        </is>
      </c>
      <c r="D12" s="20" t="n">
        <v>32</v>
      </c>
      <c r="E12" s="20" t="n">
        <v>2</v>
      </c>
      <c r="F12" s="20" t="inlineStr">
        <is>
          <t>Intel</t>
        </is>
      </c>
      <c r="G12" s="20" t="inlineStr">
        <is>
          <t>enum</t>
        </is>
      </c>
      <c r="H12" s="36" t="n">
        <v>1</v>
      </c>
      <c r="I12" s="36" t="n">
        <v>0</v>
      </c>
      <c r="J12" s="36" t="n">
        <v>0</v>
      </c>
      <c r="K12" s="36" t="n">
        <v>3</v>
      </c>
      <c r="L12" s="20" t="inlineStr">
        <is>
          <t>state</t>
        </is>
      </c>
      <c r="M12" s="20" t="inlineStr">
        <is>
          <t>OFF</t>
        </is>
      </c>
      <c r="N12" s="20" t="inlineStr">
        <is>
          <t>N/A</t>
        </is>
      </c>
      <c r="O12" s="20" t="inlineStr">
        <is>
          <t>Motor</t>
        </is>
      </c>
      <c r="P12" s="20" t="inlineStr">
        <is>
          <t>VCU / Gateway / Cluster</t>
        </is>
      </c>
      <c r="Q12" s="20" t="inlineStr">
        <is>
          <t>MOTOR_STATE</t>
        </is>
      </c>
      <c r="R12" s="20" t="inlineStr">
        <is>
          <t>ARCH §8.1 purpose</t>
        </is>
      </c>
      <c r="S12" s="20" t="inlineStr">
        <is>
          <t>팀 결정안</t>
        </is>
      </c>
      <c r="T12" s="20" t="inlineStr">
        <is>
          <t>상대 담당자 리뷰 필요</t>
        </is>
      </c>
      <c r="U12" s="20" t="inlineStr">
        <is>
          <t>SYS_REQ_004</t>
        </is>
      </c>
    </row>
    <row r="13" ht="40" customHeight="1">
      <c r="A13" s="20" t="inlineStr">
        <is>
          <t>Motor_Status.AliveCounter</t>
        </is>
      </c>
      <c r="B13" s="20" t="inlineStr">
        <is>
          <t>Motor_Status</t>
        </is>
      </c>
      <c r="C13" s="20" t="inlineStr">
        <is>
          <t>AliveCounter</t>
        </is>
      </c>
      <c r="D13" s="20" t="n">
        <v>34</v>
      </c>
      <c r="E13" s="20" t="n">
        <v>4</v>
      </c>
      <c r="F13" s="20" t="inlineStr">
        <is>
          <t>Intel</t>
        </is>
      </c>
      <c r="G13" s="20" t="inlineStr">
        <is>
          <t>unsigned</t>
        </is>
      </c>
      <c r="H13" s="36" t="n">
        <v>1</v>
      </c>
      <c r="I13" s="36" t="n">
        <v>0</v>
      </c>
      <c r="J13" s="36" t="n">
        <v>0</v>
      </c>
      <c r="K13" s="36" t="n">
        <v>15</v>
      </c>
      <c r="L13" s="20" t="inlineStr">
        <is>
          <t>count</t>
        </is>
      </c>
      <c r="M13" s="20" t="n">
        <v>0</v>
      </c>
      <c r="N13" s="20" t="inlineStr">
        <is>
          <t>N/A</t>
        </is>
      </c>
      <c r="O13" s="20" t="inlineStr">
        <is>
          <t>Motor</t>
        </is>
      </c>
      <c r="P13" s="20" t="inlineStr">
        <is>
          <t>VCU / Gateway / Cluster</t>
        </is>
      </c>
      <c r="Q13" s="20" t="inlineStr">
        <is>
          <t>ALIVE_COUNTER</t>
        </is>
      </c>
      <c r="R13" s="20" t="inlineStr">
        <is>
          <t>ARCH §8.1 purpose</t>
        </is>
      </c>
      <c r="S13" s="20" t="inlineStr">
        <is>
          <t>팀 결정안</t>
        </is>
      </c>
      <c r="T13" s="20" t="inlineStr">
        <is>
          <t>상대 담당자 리뷰 필요</t>
        </is>
      </c>
      <c r="U13" s="20" t="inlineStr">
        <is>
          <t>SYS_REQ_022-023</t>
        </is>
      </c>
    </row>
    <row r="14" ht="40" customHeight="1">
      <c r="A14" s="20" t="inlineStr">
        <is>
          <t>Vehicle_Status.Speed</t>
        </is>
      </c>
      <c r="B14" s="20" t="inlineStr">
        <is>
          <t>Vehicle_Status</t>
        </is>
      </c>
      <c r="C14" s="20" t="inlineStr">
        <is>
          <t>Speed</t>
        </is>
      </c>
      <c r="D14" s="20" t="n">
        <v>0</v>
      </c>
      <c r="E14" s="20" t="n">
        <v>16</v>
      </c>
      <c r="F14" s="20" t="inlineStr">
        <is>
          <t>Intel</t>
        </is>
      </c>
      <c r="G14" s="20" t="inlineStr">
        <is>
          <t>unsigned</t>
        </is>
      </c>
      <c r="H14" s="36" t="n">
        <v>0.1</v>
      </c>
      <c r="I14" s="36" t="n">
        <v>0</v>
      </c>
      <c r="J14" s="36" t="n">
        <v>0</v>
      </c>
      <c r="K14" s="36" t="n">
        <v>250</v>
      </c>
      <c r="L14" s="20" t="inlineStr">
        <is>
          <t>km/h</t>
        </is>
      </c>
      <c r="M14" s="20" t="n">
        <v>0</v>
      </c>
      <c r="N14" s="20" t="inlineStr">
        <is>
          <t>0xFFFF (hex)</t>
        </is>
      </c>
      <c r="O14" s="20" t="inlineStr">
        <is>
          <t>Gateway</t>
        </is>
      </c>
      <c r="P14" s="20" t="inlineStr">
        <is>
          <t>Cluster / PC</t>
        </is>
      </c>
      <c r="Q14" s="20" t="inlineStr">
        <is>
          <t>-</t>
        </is>
      </c>
      <c r="R14" s="20" t="inlineStr">
        <is>
          <t>Virtual Motor RPM 기반 가상값</t>
        </is>
      </c>
      <c r="S14" s="20" t="inlineStr">
        <is>
          <t>팀 결정안</t>
        </is>
      </c>
      <c r="T14" s="20" t="inlineStr">
        <is>
          <t>상대 담당자 리뷰 필요</t>
        </is>
      </c>
      <c r="U14" s="20" t="inlineStr">
        <is>
          <t>SYS_REQ_007</t>
        </is>
      </c>
    </row>
    <row r="15" ht="40" customHeight="1">
      <c r="A15" s="20" t="inlineStr">
        <is>
          <t>Vehicle_Status.RPM</t>
        </is>
      </c>
      <c r="B15" s="20" t="inlineStr">
        <is>
          <t>Vehicle_Status</t>
        </is>
      </c>
      <c r="C15" s="20" t="inlineStr">
        <is>
          <t>RPM</t>
        </is>
      </c>
      <c r="D15" s="20" t="n">
        <v>16</v>
      </c>
      <c r="E15" s="20" t="n">
        <v>16</v>
      </c>
      <c r="F15" s="20" t="inlineStr">
        <is>
          <t>Intel</t>
        </is>
      </c>
      <c r="G15" s="20" t="inlineStr">
        <is>
          <t>unsigned</t>
        </is>
      </c>
      <c r="H15" s="36" t="n">
        <v>1</v>
      </c>
      <c r="I15" s="36" t="n">
        <v>0</v>
      </c>
      <c r="J15" s="36" t="n">
        <v>0</v>
      </c>
      <c r="K15" s="36" t="n">
        <v>12000</v>
      </c>
      <c r="L15" s="20" t="inlineStr">
        <is>
          <t>rpm</t>
        </is>
      </c>
      <c r="M15" s="20" t="n">
        <v>0</v>
      </c>
      <c r="N15" s="20" t="inlineStr">
        <is>
          <t>0xFFFF (hex)</t>
        </is>
      </c>
      <c r="O15" s="20" t="inlineStr">
        <is>
          <t>Gateway</t>
        </is>
      </c>
      <c r="P15" s="20" t="inlineStr">
        <is>
          <t>Cluster / PC</t>
        </is>
      </c>
      <c r="Q15" s="20" t="inlineStr">
        <is>
          <t>-</t>
        </is>
      </c>
      <c r="R15" s="20" t="inlineStr">
        <is>
          <t>ARCH §8.1 purpose</t>
        </is>
      </c>
      <c r="S15" s="20" t="inlineStr">
        <is>
          <t>팀 결정안</t>
        </is>
      </c>
      <c r="T15" s="20" t="inlineStr">
        <is>
          <t>상대 담당자 리뷰 필요</t>
        </is>
      </c>
      <c r="U15" s="20" t="inlineStr">
        <is>
          <t>SYS_REQ_007</t>
        </is>
      </c>
    </row>
    <row r="16" ht="40" customHeight="1">
      <c r="A16" s="20" t="inlineStr">
        <is>
          <t>Vehicle_Status.Gear</t>
        </is>
      </c>
      <c r="B16" s="20" t="inlineStr">
        <is>
          <t>Vehicle_Status</t>
        </is>
      </c>
      <c r="C16" s="20" t="inlineStr">
        <is>
          <t>Gear</t>
        </is>
      </c>
      <c r="D16" s="20" t="n">
        <v>32</v>
      </c>
      <c r="E16" s="20" t="n">
        <v>3</v>
      </c>
      <c r="F16" s="20" t="inlineStr">
        <is>
          <t>Intel</t>
        </is>
      </c>
      <c r="G16" s="20" t="inlineStr">
        <is>
          <t>enum</t>
        </is>
      </c>
      <c r="H16" s="36" t="n">
        <v>1</v>
      </c>
      <c r="I16" s="36" t="n">
        <v>0</v>
      </c>
      <c r="J16" s="36" t="n">
        <v>0</v>
      </c>
      <c r="K16" s="36" t="n">
        <v>5</v>
      </c>
      <c r="L16" s="20" t="inlineStr">
        <is>
          <t>enum</t>
        </is>
      </c>
      <c r="M16" s="20" t="inlineStr">
        <is>
          <t>P</t>
        </is>
      </c>
      <c r="N16" s="20" t="n">
        <v>7</v>
      </c>
      <c r="O16" s="20" t="inlineStr">
        <is>
          <t>Gateway</t>
        </is>
      </c>
      <c r="P16" s="20" t="inlineStr">
        <is>
          <t>Cluster / PC</t>
        </is>
      </c>
      <c r="Q16" s="20" t="inlineStr">
        <is>
          <t>GEAR</t>
        </is>
      </c>
      <c r="R16" s="20" t="inlineStr">
        <is>
          <t>ARCH §8.1 purpose</t>
        </is>
      </c>
      <c r="S16" s="20" t="inlineStr">
        <is>
          <t>팀 결정안</t>
        </is>
      </c>
      <c r="T16" s="20" t="inlineStr">
        <is>
          <t>상대 담당자 리뷰 필요</t>
        </is>
      </c>
      <c r="U16" s="20" t="inlineStr">
        <is>
          <t>SYS_REQ_007</t>
        </is>
      </c>
    </row>
    <row r="17" ht="40" customHeight="1">
      <c r="A17" s="20" t="inlineStr">
        <is>
          <t>Vehicle_Status.Brake</t>
        </is>
      </c>
      <c r="B17" s="20" t="inlineStr">
        <is>
          <t>Vehicle_Status</t>
        </is>
      </c>
      <c r="C17" s="20" t="inlineStr">
        <is>
          <t>Brake</t>
        </is>
      </c>
      <c r="D17" s="20" t="n">
        <v>35</v>
      </c>
      <c r="E17" s="20" t="n">
        <v>1</v>
      </c>
      <c r="F17" s="20" t="inlineStr">
        <is>
          <t>Intel</t>
        </is>
      </c>
      <c r="G17" s="20" t="inlineStr">
        <is>
          <t>bool</t>
        </is>
      </c>
      <c r="H17" s="36" t="n">
        <v>1</v>
      </c>
      <c r="I17" s="36" t="n">
        <v>0</v>
      </c>
      <c r="J17" s="36" t="n">
        <v>0</v>
      </c>
      <c r="K17" s="36" t="n">
        <v>1</v>
      </c>
      <c r="L17" s="20" t="inlineStr">
        <is>
          <t>bool</t>
        </is>
      </c>
      <c r="M17" s="20" t="n">
        <v>0</v>
      </c>
      <c r="N17" s="20" t="n">
        <v>1</v>
      </c>
      <c r="O17" s="20" t="inlineStr">
        <is>
          <t>Gateway</t>
        </is>
      </c>
      <c r="P17" s="20" t="inlineStr">
        <is>
          <t>Cluster / PC</t>
        </is>
      </c>
      <c r="Q17" s="20" t="inlineStr">
        <is>
          <t>BOOL</t>
        </is>
      </c>
      <c r="R17" s="20" t="inlineStr">
        <is>
          <t>ARCH §8.1 purpose</t>
        </is>
      </c>
      <c r="S17" s="20" t="inlineStr">
        <is>
          <t>팀 결정안</t>
        </is>
      </c>
      <c r="T17" s="20" t="inlineStr">
        <is>
          <t>상대 담당자 리뷰 필요</t>
        </is>
      </c>
      <c r="U17" s="20" t="inlineStr">
        <is>
          <t>SYS_REQ_007</t>
        </is>
      </c>
    </row>
    <row r="18" ht="40" customHeight="1">
      <c r="A18" s="20" t="inlineStr">
        <is>
          <t>Vehicle_Status.NetworkState</t>
        </is>
      </c>
      <c r="B18" s="20" t="inlineStr">
        <is>
          <t>Vehicle_Status</t>
        </is>
      </c>
      <c r="C18" s="20" t="inlineStr">
        <is>
          <t>NetworkState</t>
        </is>
      </c>
      <c r="D18" s="20" t="n">
        <v>36</v>
      </c>
      <c r="E18" s="20" t="n">
        <v>2</v>
      </c>
      <c r="F18" s="20" t="inlineStr">
        <is>
          <t>Intel</t>
        </is>
      </c>
      <c r="G18" s="20" t="inlineStr">
        <is>
          <t>enum</t>
        </is>
      </c>
      <c r="H18" s="36" t="n">
        <v>1</v>
      </c>
      <c r="I18" s="36" t="n">
        <v>0</v>
      </c>
      <c r="J18" s="36" t="n">
        <v>0</v>
      </c>
      <c r="K18" s="36" t="n">
        <v>3</v>
      </c>
      <c r="L18" s="20" t="inlineStr">
        <is>
          <t>state</t>
        </is>
      </c>
      <c r="M18" s="20" t="inlineStr">
        <is>
          <t>NORMAL</t>
        </is>
      </c>
      <c r="N18" s="20" t="inlineStr">
        <is>
          <t>N/A</t>
        </is>
      </c>
      <c r="O18" s="20" t="inlineStr">
        <is>
          <t>Gateway</t>
        </is>
      </c>
      <c r="P18" s="20" t="inlineStr">
        <is>
          <t>Cluster / PC</t>
        </is>
      </c>
      <c r="Q18" s="20" t="inlineStr">
        <is>
          <t>SYSTEM_STATE</t>
        </is>
      </c>
      <c r="R18" s="20" t="inlineStr">
        <is>
          <t>ARCH §8.1 purpose</t>
        </is>
      </c>
      <c r="S18" s="20" t="inlineStr">
        <is>
          <t>팀 결정안</t>
        </is>
      </c>
      <c r="T18" s="20" t="inlineStr">
        <is>
          <t>상대 담당자 리뷰 필요</t>
        </is>
      </c>
      <c r="U18" s="20" t="inlineStr">
        <is>
          <t>SYS_REQ_007, SYS_REQ_017</t>
        </is>
      </c>
    </row>
    <row r="19" ht="40" customHeight="1">
      <c r="A19" s="20" t="inlineStr">
        <is>
          <t>Body_Status.DoorStatus</t>
        </is>
      </c>
      <c r="B19" s="20" t="inlineStr">
        <is>
          <t>Body_Status</t>
        </is>
      </c>
      <c r="C19" s="20" t="inlineStr">
        <is>
          <t>DoorStatus</t>
        </is>
      </c>
      <c r="D19" s="20" t="n">
        <v>8</v>
      </c>
      <c r="E19" s="20" t="n">
        <v>8</v>
      </c>
      <c r="F19" s="20" t="inlineStr">
        <is>
          <t>Intel</t>
        </is>
      </c>
      <c r="G19" s="20" t="inlineStr">
        <is>
          <t>enum</t>
        </is>
      </c>
      <c r="H19" s="36" t="n">
        <v>1</v>
      </c>
      <c r="I19" s="36" t="n">
        <v>0</v>
      </c>
      <c r="J19" s="36" t="n">
        <v>0</v>
      </c>
      <c r="K19" s="36" t="n">
        <v>3</v>
      </c>
      <c r="L19" s="20" t="inlineStr">
        <is>
          <t>state</t>
        </is>
      </c>
      <c r="M19" s="20" t="inlineStr">
        <is>
          <t>CLOSED_UNLOCKED</t>
        </is>
      </c>
      <c r="N19" s="20" t="inlineStr">
        <is>
          <t>0xFF</t>
        </is>
      </c>
      <c r="O19" s="20" t="inlineStr">
        <is>
          <t>Gateway</t>
        </is>
      </c>
      <c r="P19" s="20" t="inlineStr">
        <is>
          <t>Cluster / PC</t>
        </is>
      </c>
      <c r="Q19" s="20" t="inlineStr">
        <is>
          <t>DOOR_STATE</t>
        </is>
      </c>
      <c r="R19" s="20" t="inlineStr">
        <is>
          <t>ARCH §8.1 purpose</t>
        </is>
      </c>
      <c r="S19" s="20" t="inlineStr">
        <is>
          <t>팀 결정안</t>
        </is>
      </c>
      <c r="T19" s="20" t="inlineStr">
        <is>
          <t>상대 담당자 리뷰 필요</t>
        </is>
      </c>
      <c r="U19" s="20" t="inlineStr">
        <is>
          <t>SYS_REQ_005, SYS_REQ_021</t>
        </is>
      </c>
    </row>
    <row r="20" ht="40" customHeight="1">
      <c r="A20" s="20" t="inlineStr">
        <is>
          <t>Body_Status.LightStatus</t>
        </is>
      </c>
      <c r="B20" s="20" t="inlineStr">
        <is>
          <t>Body_Status</t>
        </is>
      </c>
      <c r="C20" s="20" t="inlineStr">
        <is>
          <t>LightStatus</t>
        </is>
      </c>
      <c r="D20" s="20" t="n">
        <v>16</v>
      </c>
      <c r="E20" s="20" t="n">
        <v>8</v>
      </c>
      <c r="F20" s="20" t="inlineStr">
        <is>
          <t>Intel</t>
        </is>
      </c>
      <c r="G20" s="20" t="inlineStr">
        <is>
          <t>unsigned</t>
        </is>
      </c>
      <c r="H20" s="36" t="n">
        <v>1</v>
      </c>
      <c r="I20" s="36" t="n">
        <v>0</v>
      </c>
      <c r="J20" s="36" t="n">
        <v>0</v>
      </c>
      <c r="K20" s="36" t="n">
        <v>63</v>
      </c>
      <c r="L20" s="20" t="inlineStr">
        <is>
          <t>bitmask</t>
        </is>
      </c>
      <c r="M20" s="20" t="n">
        <v>0</v>
      </c>
      <c r="N20" s="20" t="inlineStr">
        <is>
          <t>0xFF</t>
        </is>
      </c>
      <c r="O20" s="20" t="inlineStr">
        <is>
          <t>Gateway</t>
        </is>
      </c>
      <c r="P20" s="20" t="inlineStr">
        <is>
          <t>Cluster / PC</t>
        </is>
      </c>
      <c r="Q20" s="20" t="inlineStr">
        <is>
          <t>LAMP_STATUS_BITS</t>
        </is>
      </c>
      <c r="R20" s="20" t="inlineStr">
        <is>
          <t>ARCH §8.1 purpose</t>
        </is>
      </c>
      <c r="S20" s="20" t="inlineStr">
        <is>
          <t>팀 결정안</t>
        </is>
      </c>
      <c r="T20" s="20" t="inlineStr">
        <is>
          <t>상대 담당자 리뷰 필요</t>
        </is>
      </c>
      <c r="U20" s="20" t="inlineStr">
        <is>
          <t>SYS_REQ_006</t>
        </is>
      </c>
    </row>
    <row r="21" ht="40" customHeight="1">
      <c r="A21" s="20" t="inlineStr">
        <is>
          <t>Body_Status.WindowStatus</t>
        </is>
      </c>
      <c r="B21" s="20" t="inlineStr">
        <is>
          <t>Body_Status</t>
        </is>
      </c>
      <c r="C21" s="20" t="inlineStr">
        <is>
          <t>WindowStatus</t>
        </is>
      </c>
      <c r="D21" s="20" t="n">
        <v>24</v>
      </c>
      <c r="E21" s="20" t="n">
        <v>8</v>
      </c>
      <c r="F21" s="20" t="inlineStr">
        <is>
          <t>Intel</t>
        </is>
      </c>
      <c r="G21" s="20" t="inlineStr">
        <is>
          <t>enum</t>
        </is>
      </c>
      <c r="H21" s="36" t="n">
        <v>1</v>
      </c>
      <c r="I21" s="36" t="n">
        <v>0</v>
      </c>
      <c r="J21" s="36" t="n">
        <v>0</v>
      </c>
      <c r="K21" s="36" t="n">
        <v>5</v>
      </c>
      <c r="L21" s="20" t="inlineStr">
        <is>
          <t>state</t>
        </is>
      </c>
      <c r="M21" s="20" t="inlineStr">
        <is>
          <t>STOPPED</t>
        </is>
      </c>
      <c r="N21" s="20" t="inlineStr">
        <is>
          <t>0xFF</t>
        </is>
      </c>
      <c r="O21" s="20" t="inlineStr">
        <is>
          <t>Gateway</t>
        </is>
      </c>
      <c r="P21" s="20" t="inlineStr">
        <is>
          <t>Cluster / PC</t>
        </is>
      </c>
      <c r="Q21" s="20" t="inlineStr">
        <is>
          <t>WINDOW_STATE</t>
        </is>
      </c>
      <c r="R21" s="20" t="inlineStr">
        <is>
          <t>ARCH §8.1-8.3</t>
        </is>
      </c>
      <c r="S21" s="20" t="inlineStr">
        <is>
          <t>팀 결정안</t>
        </is>
      </c>
      <c r="T21" s="20" t="inlineStr">
        <is>
          <t>상대 담당자 리뷰 필요</t>
        </is>
      </c>
      <c r="U21" s="20" t="inlineStr">
        <is>
          <t>SYS_REQ_042-044, SYS_REQ_057</t>
        </is>
      </c>
    </row>
    <row r="22" ht="40" customHeight="1">
      <c r="A22" s="20" t="inlineStr">
        <is>
          <t>Body_Status.ReverseLamp</t>
        </is>
      </c>
      <c r="B22" s="20" t="inlineStr">
        <is>
          <t>Body_Status</t>
        </is>
      </c>
      <c r="C22" s="20" t="inlineStr">
        <is>
          <t>ReverseLamp</t>
        </is>
      </c>
      <c r="D22" s="20" t="n">
        <v>0</v>
      </c>
      <c r="E22" s="20" t="n">
        <v>1</v>
      </c>
      <c r="F22" s="20" t="inlineStr">
        <is>
          <t>Intel</t>
        </is>
      </c>
      <c r="G22" s="20" t="inlineStr">
        <is>
          <t>bool</t>
        </is>
      </c>
      <c r="H22" s="36" t="n">
        <v>1</v>
      </c>
      <c r="I22" s="36" t="n">
        <v>0</v>
      </c>
      <c r="J22" s="36" t="n">
        <v>0</v>
      </c>
      <c r="K22" s="36" t="n">
        <v>1</v>
      </c>
      <c r="L22" s="20" t="inlineStr">
        <is>
          <t>bool</t>
        </is>
      </c>
      <c r="M22" s="20" t="n">
        <v>0</v>
      </c>
      <c r="N22" s="20" t="inlineStr">
        <is>
          <t>N/A</t>
        </is>
      </c>
      <c r="O22" s="20" t="inlineStr">
        <is>
          <t>Gateway</t>
        </is>
      </c>
      <c r="P22" s="20" t="inlineStr">
        <is>
          <t>Cluster / PC</t>
        </is>
      </c>
      <c r="Q22" s="20" t="inlineStr">
        <is>
          <t>BOOL</t>
        </is>
      </c>
      <c r="R22" s="20" t="inlineStr">
        <is>
          <t>HB §5.3 Table 5-2</t>
        </is>
      </c>
      <c r="S22" s="20" t="inlineStr">
        <is>
          <t>기준 예시</t>
        </is>
      </c>
      <c r="T22" s="20" t="inlineStr">
        <is>
          <t>상대 담당자 리뷰 필요</t>
        </is>
      </c>
      <c r="U22" s="20" t="inlineStr">
        <is>
          <t>SYS_REQ_006-007</t>
        </is>
      </c>
    </row>
    <row r="23" ht="40" customHeight="1">
      <c r="A23" s="20" t="inlineStr">
        <is>
          <t>Body_Status.DoorOpen</t>
        </is>
      </c>
      <c r="B23" s="20" t="inlineStr">
        <is>
          <t>Body_Status</t>
        </is>
      </c>
      <c r="C23" s="20" t="inlineStr">
        <is>
          <t>DoorOpen</t>
        </is>
      </c>
      <c r="D23" s="20" t="n">
        <v>1</v>
      </c>
      <c r="E23" s="20" t="n">
        <v>1</v>
      </c>
      <c r="F23" s="20" t="inlineStr">
        <is>
          <t>Intel</t>
        </is>
      </c>
      <c r="G23" s="20" t="inlineStr">
        <is>
          <t>bool</t>
        </is>
      </c>
      <c r="H23" s="36" t="n">
        <v>1</v>
      </c>
      <c r="I23" s="36" t="n">
        <v>0</v>
      </c>
      <c r="J23" s="36" t="n">
        <v>0</v>
      </c>
      <c r="K23" s="36" t="n">
        <v>1</v>
      </c>
      <c r="L23" s="20" t="inlineStr">
        <is>
          <t>bool</t>
        </is>
      </c>
      <c r="M23" s="20" t="n">
        <v>0</v>
      </c>
      <c r="N23" s="20" t="inlineStr">
        <is>
          <t>N/A</t>
        </is>
      </c>
      <c r="O23" s="20" t="inlineStr">
        <is>
          <t>Gateway</t>
        </is>
      </c>
      <c r="P23" s="20" t="inlineStr">
        <is>
          <t>Cluster / PC</t>
        </is>
      </c>
      <c r="Q23" s="20" t="inlineStr">
        <is>
          <t>BOOL</t>
        </is>
      </c>
      <c r="R23" s="20" t="inlineStr">
        <is>
          <t>ARCH §8.1 purpose</t>
        </is>
      </c>
      <c r="S23" s="20" t="inlineStr">
        <is>
          <t>팀 결정안</t>
        </is>
      </c>
      <c r="T23" s="20" t="inlineStr">
        <is>
          <t>상대 담당자 리뷰 필요</t>
        </is>
      </c>
      <c r="U23" s="20" t="inlineStr">
        <is>
          <t>SYS_REQ_005, SYS_REQ_007</t>
        </is>
      </c>
    </row>
    <row r="24" ht="40" customHeight="1">
      <c r="A24" s="20" t="inlineStr">
        <is>
          <t>Gateway_Status.GatewayAlive</t>
        </is>
      </c>
      <c r="B24" s="20" t="inlineStr">
        <is>
          <t>Gateway_Status</t>
        </is>
      </c>
      <c r="C24" s="20" t="inlineStr">
        <is>
          <t>GatewayAlive</t>
        </is>
      </c>
      <c r="D24" s="20" t="n">
        <v>0</v>
      </c>
      <c r="E24" s="20" t="n">
        <v>4</v>
      </c>
      <c r="F24" s="20" t="inlineStr">
        <is>
          <t>Intel</t>
        </is>
      </c>
      <c r="G24" s="20" t="inlineStr">
        <is>
          <t>unsigned</t>
        </is>
      </c>
      <c r="H24" s="36" t="n">
        <v>1</v>
      </c>
      <c r="I24" s="36" t="n">
        <v>0</v>
      </c>
      <c r="J24" s="36" t="n">
        <v>0</v>
      </c>
      <c r="K24" s="36" t="n">
        <v>15</v>
      </c>
      <c r="L24" s="20" t="inlineStr">
        <is>
          <t>count</t>
        </is>
      </c>
      <c r="M24" s="20" t="n">
        <v>0</v>
      </c>
      <c r="N24" s="20" t="inlineStr">
        <is>
          <t>0xF</t>
        </is>
      </c>
      <c r="O24" s="20" t="inlineStr">
        <is>
          <t>Gateway</t>
        </is>
      </c>
      <c r="P24" s="20" t="inlineStr">
        <is>
          <t>All / PC</t>
        </is>
      </c>
      <c r="Q24" s="20" t="inlineStr">
        <is>
          <t>ALIVE_COUNTER</t>
        </is>
      </c>
      <c r="R24" s="20" t="inlineStr">
        <is>
          <t>HB §5.3 Table 5-2</t>
        </is>
      </c>
      <c r="S24" s="20" t="inlineStr">
        <is>
          <t>기준 예시</t>
        </is>
      </c>
      <c r="T24" s="20" t="inlineStr">
        <is>
          <t>상대 담당자 리뷰 필요</t>
        </is>
      </c>
      <c r="U24" s="20" t="inlineStr">
        <is>
          <t>SYS_REQ_017, SYS_REQ_023</t>
        </is>
      </c>
    </row>
    <row r="25" ht="40" customHeight="1">
      <c r="A25" s="20" t="inlineStr">
        <is>
          <t>Gateway_Status.QueueUsage</t>
        </is>
      </c>
      <c r="B25" s="20" t="inlineStr">
        <is>
          <t>Gateway_Status</t>
        </is>
      </c>
      <c r="C25" s="20" t="inlineStr">
        <is>
          <t>QueueUsage</t>
        </is>
      </c>
      <c r="D25" s="20" t="n">
        <v>8</v>
      </c>
      <c r="E25" s="20" t="n">
        <v>8</v>
      </c>
      <c r="F25" s="20" t="inlineStr">
        <is>
          <t>Intel</t>
        </is>
      </c>
      <c r="G25" s="20" t="inlineStr">
        <is>
          <t>unsigned</t>
        </is>
      </c>
      <c r="H25" s="36" t="n">
        <v>1</v>
      </c>
      <c r="I25" s="36" t="n">
        <v>0</v>
      </c>
      <c r="J25" s="36" t="n">
        <v>0</v>
      </c>
      <c r="K25" s="36" t="n">
        <v>100</v>
      </c>
      <c r="L25" s="20" t="inlineStr">
        <is>
          <t>%</t>
        </is>
      </c>
      <c r="M25" s="20" t="n">
        <v>0</v>
      </c>
      <c r="N25" s="20" t="inlineStr">
        <is>
          <t>0xFF</t>
        </is>
      </c>
      <c r="O25" s="20" t="inlineStr">
        <is>
          <t>Gateway</t>
        </is>
      </c>
      <c r="P25" s="20" t="inlineStr">
        <is>
          <t>All / PC</t>
        </is>
      </c>
      <c r="Q25" s="20" t="inlineStr">
        <is>
          <t>-</t>
        </is>
      </c>
      <c r="R25" s="20" t="inlineStr">
        <is>
          <t>HB §5.2; D-07 §7.1</t>
        </is>
      </c>
      <c r="S25" s="20" t="inlineStr">
        <is>
          <t>팀 결정안</t>
        </is>
      </c>
      <c r="T25" s="20" t="inlineStr">
        <is>
          <t>상대 담당자 리뷰 필요</t>
        </is>
      </c>
      <c r="U25" s="20" t="inlineStr">
        <is>
          <t>SYS_REQ_017, SYS_REQ_054</t>
        </is>
      </c>
    </row>
    <row r="26" ht="40" customHeight="1">
      <c r="A26" s="20" t="inlineStr">
        <is>
          <t>Fault_Status.FaultCode</t>
        </is>
      </c>
      <c r="B26" s="20" t="inlineStr">
        <is>
          <t>Fault_Status</t>
        </is>
      </c>
      <c r="C26" s="20" t="inlineStr">
        <is>
          <t>FaultCode</t>
        </is>
      </c>
      <c r="D26" s="20" t="n">
        <v>0</v>
      </c>
      <c r="E26" s="20" t="n">
        <v>8</v>
      </c>
      <c r="F26" s="20" t="inlineStr">
        <is>
          <t>Intel</t>
        </is>
      </c>
      <c r="G26" s="20" t="inlineStr">
        <is>
          <t>enum</t>
        </is>
      </c>
      <c r="H26" s="36" t="n">
        <v>1</v>
      </c>
      <c r="I26" s="36" t="n">
        <v>0</v>
      </c>
      <c r="J26" s="36" t="n">
        <v>0</v>
      </c>
      <c r="K26" s="36" t="n">
        <v>6</v>
      </c>
      <c r="L26" s="20" t="inlineStr">
        <is>
          <t>code</t>
        </is>
      </c>
      <c r="M26" s="20" t="inlineStr">
        <is>
          <t>NONE</t>
        </is>
      </c>
      <c r="N26" s="20" t="inlineStr">
        <is>
          <t>0xFF</t>
        </is>
      </c>
      <c r="O26" s="20" t="inlineStr">
        <is>
          <t>Gateway</t>
        </is>
      </c>
      <c r="P26" s="20" t="inlineStr">
        <is>
          <t>Cluster / PC</t>
        </is>
      </c>
      <c r="Q26" s="20" t="inlineStr">
        <is>
          <t>FAULT_CODE</t>
        </is>
      </c>
      <c r="R26" s="20" t="inlineStr">
        <is>
          <t>ARCH §8.1; D-07 §7 + Team Encoding</t>
        </is>
      </c>
      <c r="S26" s="20" t="inlineStr">
        <is>
          <t>팀 결정안</t>
        </is>
      </c>
      <c r="T26" s="20" t="inlineStr">
        <is>
          <t>상대 담당자 리뷰 필요</t>
        </is>
      </c>
      <c r="U26" s="20" t="inlineStr">
        <is>
          <t>SYS_REQ_018, SYS_REQ_025-026</t>
        </is>
      </c>
    </row>
    <row r="27" ht="40" customHeight="1">
      <c r="A27" s="20" t="inlineStr">
        <is>
          <t>Fault_Status.ECUOffline</t>
        </is>
      </c>
      <c r="B27" s="20" t="inlineStr">
        <is>
          <t>Fault_Status</t>
        </is>
      </c>
      <c r="C27" s="20" t="inlineStr">
        <is>
          <t>ECUOffline</t>
        </is>
      </c>
      <c r="D27" s="20" t="n">
        <v>8</v>
      </c>
      <c r="E27" s="20" t="n">
        <v>4</v>
      </c>
      <c r="F27" s="20" t="inlineStr">
        <is>
          <t>Intel</t>
        </is>
      </c>
      <c r="G27" s="20" t="inlineStr">
        <is>
          <t>enum</t>
        </is>
      </c>
      <c r="H27" s="36" t="n">
        <v>1</v>
      </c>
      <c r="I27" s="36" t="n">
        <v>0</v>
      </c>
      <c r="J27" s="36" t="n">
        <v>0</v>
      </c>
      <c r="K27" s="36" t="n">
        <v>7</v>
      </c>
      <c r="L27" s="20" t="inlineStr">
        <is>
          <t>node</t>
        </is>
      </c>
      <c r="M27" s="20" t="inlineStr">
        <is>
          <t>NONE</t>
        </is>
      </c>
      <c r="N27" s="20" t="inlineStr">
        <is>
          <t>0xF</t>
        </is>
      </c>
      <c r="O27" s="20" t="inlineStr">
        <is>
          <t>Gateway</t>
        </is>
      </c>
      <c r="P27" s="20" t="inlineStr">
        <is>
          <t>Cluster / PC</t>
        </is>
      </c>
      <c r="Q27" s="20" t="inlineStr">
        <is>
          <t>ECU_OFFLINE</t>
        </is>
      </c>
      <c r="R27" s="20" t="inlineStr">
        <is>
          <t>ARCH §8.1; D-07 §4 + Team Encoding</t>
        </is>
      </c>
      <c r="S27" s="20" t="inlineStr">
        <is>
          <t>팀 결정안</t>
        </is>
      </c>
      <c r="T27" s="20" t="inlineStr">
        <is>
          <t>상대 담당자 리뷰 필요</t>
        </is>
      </c>
      <c r="U27" s="20" t="inlineStr">
        <is>
          <t>SYS_REQ_018, SYS_REQ_021, SYS_REQ_025</t>
        </is>
      </c>
    </row>
    <row r="28" ht="40" customHeight="1">
      <c r="A28" s="20" t="inlineStr">
        <is>
          <t>Fault_Status.RecoveryState</t>
        </is>
      </c>
      <c r="B28" s="20" t="inlineStr">
        <is>
          <t>Fault_Status</t>
        </is>
      </c>
      <c r="C28" s="20" t="inlineStr">
        <is>
          <t>RecoveryState</t>
        </is>
      </c>
      <c r="D28" s="20" t="n">
        <v>12</v>
      </c>
      <c r="E28" s="20" t="n">
        <v>1</v>
      </c>
      <c r="F28" s="20" t="inlineStr">
        <is>
          <t>Intel</t>
        </is>
      </c>
      <c r="G28" s="20" t="inlineStr">
        <is>
          <t>enum</t>
        </is>
      </c>
      <c r="H28" s="36" t="n">
        <v>1</v>
      </c>
      <c r="I28" s="36" t="n">
        <v>0</v>
      </c>
      <c r="J28" s="36" t="n">
        <v>0</v>
      </c>
      <c r="K28" s="36" t="n">
        <v>1</v>
      </c>
      <c r="L28" s="20" t="inlineStr">
        <is>
          <t>state</t>
        </is>
      </c>
      <c r="M28" s="20" t="inlineStr">
        <is>
          <t>CLEARED</t>
        </is>
      </c>
      <c r="N28" s="20" t="inlineStr">
        <is>
          <t>N/A</t>
        </is>
      </c>
      <c r="O28" s="20" t="inlineStr">
        <is>
          <t>Gateway</t>
        </is>
      </c>
      <c r="P28" s="20" t="inlineStr">
        <is>
          <t>Cluster / PC</t>
        </is>
      </c>
      <c r="Q28" s="20" t="inlineStr">
        <is>
          <t>RECOVERY_STATE</t>
        </is>
      </c>
      <c r="R28" s="20" t="inlineStr">
        <is>
          <t>ARCH §8.1; D-07 §5/§7 + Team Encoding</t>
        </is>
      </c>
      <c r="S28" s="20" t="inlineStr">
        <is>
          <t>팀 결정안</t>
        </is>
      </c>
      <c r="T28" s="20" t="inlineStr">
        <is>
          <t>상대 담당자 리뷰 필요</t>
        </is>
      </c>
      <c r="U28" s="20" t="inlineStr">
        <is>
          <t>SYS_REQ_026, SYS_REQ_053</t>
        </is>
      </c>
    </row>
    <row r="29" ht="40" customHeight="1">
      <c r="A29" s="20" t="inlineStr">
        <is>
          <t>Fault_Status.SystemState</t>
        </is>
      </c>
      <c r="B29" s="20" t="inlineStr">
        <is>
          <t>Fault_Status</t>
        </is>
      </c>
      <c r="C29" s="20" t="inlineStr">
        <is>
          <t>SystemState</t>
        </is>
      </c>
      <c r="D29" s="20" t="n">
        <v>13</v>
      </c>
      <c r="E29" s="20" t="n">
        <v>2</v>
      </c>
      <c r="F29" s="20" t="inlineStr">
        <is>
          <t>Intel</t>
        </is>
      </c>
      <c r="G29" s="20" t="inlineStr">
        <is>
          <t>enum</t>
        </is>
      </c>
      <c r="H29" s="36" t="n">
        <v>1</v>
      </c>
      <c r="I29" s="36" t="n">
        <v>0</v>
      </c>
      <c r="J29" s="36" t="n">
        <v>0</v>
      </c>
      <c r="K29" s="36" t="n">
        <v>3</v>
      </c>
      <c r="L29" s="20" t="inlineStr">
        <is>
          <t>state</t>
        </is>
      </c>
      <c r="M29" s="20" t="inlineStr">
        <is>
          <t>NORMAL</t>
        </is>
      </c>
      <c r="N29" s="20" t="inlineStr">
        <is>
          <t>N/A</t>
        </is>
      </c>
      <c r="O29" s="20" t="inlineStr">
        <is>
          <t>Gateway</t>
        </is>
      </c>
      <c r="P29" s="20" t="inlineStr">
        <is>
          <t>Cluster / PC</t>
        </is>
      </c>
      <c r="Q29" s="20" t="inlineStr">
        <is>
          <t>SYSTEM_STATE</t>
        </is>
      </c>
      <c r="R29" s="20" t="inlineStr">
        <is>
          <t>ARCH §3.D, §7.2; D-07 §4-5 + Team Encoding</t>
        </is>
      </c>
      <c r="S29" s="20" t="inlineStr">
        <is>
          <t>팀 결정안</t>
        </is>
      </c>
      <c r="T29" s="20" t="inlineStr">
        <is>
          <t>상대 담당자 리뷰 필요</t>
        </is>
      </c>
      <c r="U29" s="20" t="inlineStr">
        <is>
          <t>SYS_REQ_050-052, SYS_REQ_056, SYS_REQ_058</t>
        </is>
      </c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</row>
    <row r="31" ht="36" customHeight="1">
      <c r="A31" s="18" t="inlineStr">
        <is>
          <t>입력 규칙: 숫자 필드는 숫자형으로 기록하고 기준 문서 고정값과 Team Encoding을 Source/Status에서 구분합니다. Fault_Status와 Window encoding은 본 Workbook FIX이며 Matrix는 참고용, DBC/LDF/FW/Test는 동일 값으로 동기화합니다.</t>
        </is>
      </c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</row>
  </sheetData>
  <mergeCells count="4">
    <mergeCell ref="A1:U1"/>
    <mergeCell ref="A4:U4"/>
    <mergeCell ref="A2:U2"/>
    <mergeCell ref="A31:U32"/>
  </mergeCells>
  <conditionalFormatting sqref="S6:S29">
    <cfRule type="containsText" priority="1" operator="containsText" dxfId="4" text="TBD"/>
    <cfRule type="containsText" priority="2" operator="containsText" dxfId="0" text="리뷰"/>
    <cfRule type="containsText" priority="3" operator="containsText" dxfId="2" text="확정"/>
  </conditionalFormatting>
  <conditionalFormatting sqref="T6:T29">
    <cfRule type="containsText" priority="4" operator="containsText" dxfId="0" text="리뷰"/>
  </conditionalFormatting>
  <dataValidations count="2">
    <dataValidation sqref="S6:S29" showDropDown="0" showInputMessage="0" showErrorMessage="0" allowBlank="0" type="list">
      <formula1>"기준 문서 반영,기준 예시,확정,TBD/Open,초안"</formula1>
    </dataValidation>
    <dataValidation sqref="T6:T29" showDropDown="0" showInputMessage="0" showErrorMessage="0" allowBlank="0" type="list">
      <formula1>"없음,담당자 확인,상대 담당자 리뷰 필요"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94A3B8"/>
    <outlinePr summaryBelow="1" summaryRight="1"/>
    <pageSetUpPr/>
  </sheetPr>
  <dimension ref="A1:P80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F6" sqref="F6"/>
    </sheetView>
  </sheetViews>
  <sheetFormatPr baseColWidth="8" defaultRowHeight="14"/>
  <cols>
    <col width="13" customWidth="1" min="1" max="1"/>
    <col width="19" customWidth="1" min="2" max="2"/>
    <col width="16.83203125" bestFit="1" customWidth="1" min="3" max="3"/>
    <col width="38.75" bestFit="1" customWidth="1" min="4" max="4"/>
    <col width="14" customWidth="1" min="5" max="5"/>
    <col width="12" customWidth="1" min="6" max="7"/>
    <col width="14" customWidth="1" min="8" max="8"/>
    <col width="16" customWidth="1" min="9" max="9"/>
    <col width="21" customWidth="1" min="10" max="10"/>
    <col width="14" customWidth="1" min="11" max="11"/>
    <col width="37" customWidth="1" min="12" max="12"/>
    <col width="23" customWidth="1" min="13" max="13"/>
    <col width="25" customWidth="1" min="14" max="14"/>
    <col width="15" customWidth="1" min="15" max="15"/>
    <col width="23" customWidth="1" min="16" max="16"/>
  </cols>
  <sheetData>
    <row r="1" ht="27" customHeight="1">
      <c r="A1" s="21" t="inlineStr">
        <is>
          <t>LIN Frame Definition</t>
        </is>
      </c>
    </row>
    <row r="2" ht="34" customHeight="1">
      <c r="A2" s="22" t="inlineStr">
        <is>
          <t>Gateway=LIN Master, Door/Light/Window=Slave. 본 시트의 PID/Length/Checksum/Schedule은 FIX Interface입니다. LIN_Matrix는 참고용이며 vehicle.ldf/Firmware/Test에 동일 값을 반영하고 변경 시 상대 담당자 리뷰 필요.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</row>
    <row r="4" ht="22" customHeight="1">
      <c r="A4" s="19" t="inlineStr">
        <is>
          <t>Frame header / schedule link</t>
        </is>
      </c>
    </row>
    <row r="5" ht="30" customHeight="1">
      <c r="A5" s="9" t="inlineStr">
        <is>
          <t>Frame Type</t>
        </is>
      </c>
      <c r="B5" s="9" t="inlineStr">
        <is>
          <t>Frame Name</t>
        </is>
      </c>
      <c r="C5" s="9" t="inlineStr">
        <is>
          <t>PID</t>
        </is>
      </c>
      <c r="D5" s="9" t="inlineStr">
        <is>
          <t>Direction</t>
        </is>
      </c>
      <c r="E5" s="9" t="inlineStr">
        <is>
          <t>Length (bytes)</t>
        </is>
      </c>
      <c r="F5" s="9" t="inlineStr">
        <is>
          <t>Tx Method</t>
        </is>
      </c>
      <c r="G5" s="9" t="inlineStr">
        <is>
          <t>Period (ms)</t>
        </is>
      </c>
      <c r="H5" s="9" t="inlineStr">
        <is>
          <t>Publisher</t>
        </is>
      </c>
      <c r="I5" s="9" t="inlineStr">
        <is>
          <t>Subscriber</t>
        </is>
      </c>
      <c r="J5" s="9" t="inlineStr">
        <is>
          <t>Schedule Slot</t>
        </is>
      </c>
      <c r="K5" s="9" t="inlineStr">
        <is>
          <t>Checksum</t>
        </is>
      </c>
      <c r="L5" s="9" t="inlineStr">
        <is>
          <t>Purpose</t>
        </is>
      </c>
      <c r="M5" s="9" t="inlineStr">
        <is>
          <t>Related Requirement</t>
        </is>
      </c>
      <c r="N5" s="9" t="inlineStr">
        <is>
          <t>LDF / Matrix Link</t>
        </is>
      </c>
      <c r="O5" s="9" t="inlineStr">
        <is>
          <t>Status</t>
        </is>
      </c>
      <c r="P5" s="9" t="inlineStr">
        <is>
          <t>Review</t>
        </is>
      </c>
    </row>
    <row r="6" ht="44" customHeight="1">
      <c r="A6" s="20" t="inlineStr">
        <is>
          <t>Status</t>
        </is>
      </c>
      <c r="B6" s="20" t="inlineStr">
        <is>
          <t>Door_Status</t>
        </is>
      </c>
      <c r="C6" s="20" t="inlineStr">
        <is>
          <t>0x10 (hex)</t>
        </is>
      </c>
      <c r="D6" s="20" t="inlineStr">
        <is>
          <t>Slave → Master</t>
        </is>
      </c>
      <c r="E6" s="20" t="n">
        <v>1</v>
      </c>
      <c r="F6" s="20" t="inlineStr">
        <is>
          <t>Scheduled</t>
        </is>
      </c>
      <c r="G6" s="35" t="n">
        <v>100</v>
      </c>
      <c r="H6" s="20" t="inlineStr">
        <is>
          <t>Door</t>
        </is>
      </c>
      <c r="I6" s="20" t="inlineStr">
        <is>
          <t>Gateway</t>
        </is>
      </c>
      <c r="J6" s="20" t="inlineStr">
        <is>
          <t>0 ms / entry 1</t>
        </is>
      </c>
      <c r="K6" s="20" t="inlineStr">
        <is>
          <t>Enhanced</t>
        </is>
      </c>
      <c r="L6" s="20" t="inlineStr">
        <is>
          <t>DoorOpen, DoorLocked, DoorAlive</t>
        </is>
      </c>
      <c r="M6" s="20" t="inlineStr">
        <is>
          <t>SYS_REQ_005, SYS_REQ_021, SYS_REQ_053</t>
        </is>
      </c>
      <c r="N6" s="20" t="inlineStr">
        <is>
          <t>vehicle.ldf / LIN_Matrix.xlsx</t>
        </is>
      </c>
      <c r="O6" s="20" t="inlineStr">
        <is>
          <t>기준+팀 결정안</t>
        </is>
      </c>
      <c r="P6" s="20" t="inlineStr">
        <is>
          <t>상대 담당자 리뷰 필요</t>
        </is>
      </c>
    </row>
    <row r="7" ht="44" customHeight="1">
      <c r="A7" s="20" t="inlineStr">
        <is>
          <t>Command</t>
        </is>
      </c>
      <c r="B7" s="20" t="inlineStr">
        <is>
          <t>Door_Command</t>
        </is>
      </c>
      <c r="C7" s="20" t="inlineStr">
        <is>
          <t>0x11 (hex)</t>
        </is>
      </c>
      <c r="D7" s="20" t="inlineStr">
        <is>
          <t>Master → Slave</t>
        </is>
      </c>
      <c r="E7" s="20" t="n">
        <v>1</v>
      </c>
      <c r="F7" s="20" t="inlineStr">
        <is>
          <t>Scheduled</t>
        </is>
      </c>
      <c r="G7" s="35" t="n">
        <v>100</v>
      </c>
      <c r="H7" s="20" t="inlineStr">
        <is>
          <t>Gateway</t>
        </is>
      </c>
      <c r="I7" s="20" t="inlineStr">
        <is>
          <t>Door</t>
        </is>
      </c>
      <c r="J7" s="20" t="inlineStr">
        <is>
          <t>60 ms / entry 7</t>
        </is>
      </c>
      <c r="K7" s="20" t="inlineStr">
        <is>
          <t>Enhanced</t>
        </is>
      </c>
      <c r="L7" s="20" t="inlineStr">
        <is>
          <t>LockCommand, RequestState</t>
        </is>
      </c>
      <c r="M7" s="20" t="inlineStr">
        <is>
          <t>SYS_REQ_005, SYS_REQ_013</t>
        </is>
      </c>
      <c r="N7" s="20" t="inlineStr">
        <is>
          <t>vehicle.ldf / LIN_Matrix.xlsx</t>
        </is>
      </c>
      <c r="O7" s="20" t="inlineStr">
        <is>
          <t>기준+팀 결정안</t>
        </is>
      </c>
      <c r="P7" s="20" t="inlineStr">
        <is>
          <t>상대 담당자 리뷰 필요</t>
        </is>
      </c>
    </row>
    <row r="8" ht="44" customHeight="1">
      <c r="A8" s="20" t="inlineStr">
        <is>
          <t>Command</t>
        </is>
      </c>
      <c r="B8" s="20" t="inlineStr">
        <is>
          <t>Light_Command</t>
        </is>
      </c>
      <c r="C8" s="20" t="inlineStr">
        <is>
          <t>0x12 (hex)</t>
        </is>
      </c>
      <c r="D8" s="20" t="inlineStr">
        <is>
          <t>Master → Slave</t>
        </is>
      </c>
      <c r="E8" s="20" t="n">
        <v>1</v>
      </c>
      <c r="F8" s="20" t="inlineStr">
        <is>
          <t>Scheduled</t>
        </is>
      </c>
      <c r="G8" s="35" t="n">
        <v>50</v>
      </c>
      <c r="H8" s="20" t="inlineStr">
        <is>
          <t>Gateway</t>
        </is>
      </c>
      <c r="I8" s="20" t="inlineStr">
        <is>
          <t>Light</t>
        </is>
      </c>
      <c r="J8" s="20" t="inlineStr">
        <is>
          <t>20 ms / entry 3, 70 ms / entry 8</t>
        </is>
      </c>
      <c r="K8" s="20" t="inlineStr">
        <is>
          <t>Enhanced</t>
        </is>
      </c>
      <c r="L8" s="20" t="inlineStr">
        <is>
          <t>HeadLamp, TurnLamp, HazardLamp, ReverseLamp, BrakeLamp</t>
        </is>
      </c>
      <c r="M8" s="20" t="inlineStr">
        <is>
          <t>SYS_REQ_006, SYS_REQ_013</t>
        </is>
      </c>
      <c r="N8" s="20" t="inlineStr">
        <is>
          <t>vehicle.ldf / LIN_Matrix.xlsx</t>
        </is>
      </c>
      <c r="O8" s="20" t="inlineStr">
        <is>
          <t>기준+팀 결정안</t>
        </is>
      </c>
      <c r="P8" s="20" t="inlineStr">
        <is>
          <t>상대 담당자 리뷰 필요</t>
        </is>
      </c>
    </row>
    <row r="9" ht="44" customHeight="1">
      <c r="A9" s="20" t="inlineStr">
        <is>
          <t>Status</t>
        </is>
      </c>
      <c r="B9" s="20" t="inlineStr">
        <is>
          <t>Light_Status</t>
        </is>
      </c>
      <c r="C9" s="20" t="inlineStr">
        <is>
          <t>0x13 (hex)</t>
        </is>
      </c>
      <c r="D9" s="20" t="inlineStr">
        <is>
          <t>Slave → Master</t>
        </is>
      </c>
      <c r="E9" s="20" t="n">
        <v>2</v>
      </c>
      <c r="F9" s="20" t="inlineStr">
        <is>
          <t>Scheduled</t>
        </is>
      </c>
      <c r="G9" s="35" t="n">
        <v>100</v>
      </c>
      <c r="H9" s="20" t="inlineStr">
        <is>
          <t>Light</t>
        </is>
      </c>
      <c r="I9" s="20" t="inlineStr">
        <is>
          <t>Gateway</t>
        </is>
      </c>
      <c r="J9" s="20" t="inlineStr">
        <is>
          <t>40 ms / entry 5</t>
        </is>
      </c>
      <c r="K9" s="20" t="inlineStr">
        <is>
          <t>Enhanced</t>
        </is>
      </c>
      <c r="L9" s="20" t="inlineStr">
        <is>
          <t>LampState, LightAlive, DiagnosticState</t>
        </is>
      </c>
      <c r="M9" s="20" t="inlineStr">
        <is>
          <t>SYS_REQ_006, SYS_REQ_013</t>
        </is>
      </c>
      <c r="N9" s="20" t="inlineStr">
        <is>
          <t>vehicle.ldf / LIN_Matrix.xlsx</t>
        </is>
      </c>
      <c r="O9" s="20" t="inlineStr">
        <is>
          <t>기준+팀 결정안</t>
        </is>
      </c>
      <c r="P9" s="20" t="inlineStr">
        <is>
          <t>상대 담당자 리뷰 필요</t>
        </is>
      </c>
    </row>
    <row r="10" ht="44" customHeight="1">
      <c r="A10" s="20" t="inlineStr">
        <is>
          <t>Command</t>
        </is>
      </c>
      <c r="B10" s="20" t="inlineStr">
        <is>
          <t>Window_Command</t>
        </is>
      </c>
      <c r="C10" s="20" t="inlineStr">
        <is>
          <t>0x14 (hex)</t>
        </is>
      </c>
      <c r="D10" s="20" t="inlineStr">
        <is>
          <t>Master → Slave</t>
        </is>
      </c>
      <c r="E10" s="20" t="n">
        <v>1</v>
      </c>
      <c r="F10" s="20" t="inlineStr">
        <is>
          <t>Scheduled</t>
        </is>
      </c>
      <c r="G10" s="35" t="n">
        <v>100</v>
      </c>
      <c r="H10" s="20" t="inlineStr">
        <is>
          <t>Gateway</t>
        </is>
      </c>
      <c r="I10" s="20" t="inlineStr">
        <is>
          <t>Window</t>
        </is>
      </c>
      <c r="J10" s="20" t="inlineStr">
        <is>
          <t>10 ms / entry 2</t>
        </is>
      </c>
      <c r="K10" s="20" t="inlineStr">
        <is>
          <t>Enhanced</t>
        </is>
      </c>
      <c r="L10" s="20" t="inlineStr">
        <is>
          <t>Window UP/DOWN command</t>
        </is>
      </c>
      <c r="M10" s="20" t="inlineStr">
        <is>
          <t>SYS_REQ_042-045, SYS_REQ_057, SYS_REQ_059</t>
        </is>
      </c>
      <c r="N10" s="20" t="inlineStr">
        <is>
          <t>vehicle.ldf / LIN_Matrix.xlsx</t>
        </is>
      </c>
      <c r="O10" s="20" t="inlineStr">
        <is>
          <t>팀 결정안</t>
        </is>
      </c>
      <c r="P10" s="20" t="inlineStr">
        <is>
          <t>상대 담당자 리뷰 필요</t>
        </is>
      </c>
    </row>
    <row r="11" ht="44" customHeight="1">
      <c r="A11" s="20" t="inlineStr">
        <is>
          <t>Status</t>
        </is>
      </c>
      <c r="B11" s="20" t="inlineStr">
        <is>
          <t>Window_Status</t>
        </is>
      </c>
      <c r="C11" s="20" t="inlineStr">
        <is>
          <t>0x15 (hex)</t>
        </is>
      </c>
      <c r="D11" s="20" t="inlineStr">
        <is>
          <t>Slave → Master</t>
        </is>
      </c>
      <c r="E11" s="20" t="n">
        <v>2</v>
      </c>
      <c r="F11" s="20" t="inlineStr">
        <is>
          <t>Scheduled</t>
        </is>
      </c>
      <c r="G11" s="35" t="n">
        <v>100</v>
      </c>
      <c r="H11" s="20" t="inlineStr">
        <is>
          <t>Window</t>
        </is>
      </c>
      <c r="I11" s="20" t="inlineStr">
        <is>
          <t>Gateway</t>
        </is>
      </c>
      <c r="J11" s="20" t="inlineStr">
        <is>
          <t>30 ms / entry 4</t>
        </is>
      </c>
      <c r="K11" s="20" t="inlineStr">
        <is>
          <t>Enhanced</t>
        </is>
      </c>
      <c r="L11" s="20" t="inlineStr">
        <is>
          <t>Window status / limit / motor state</t>
        </is>
      </c>
      <c r="M11" s="20" t="inlineStr">
        <is>
          <t>SYS_REQ_042-044, SYS_REQ_057</t>
        </is>
      </c>
      <c r="N11" s="20" t="inlineStr">
        <is>
          <t>vehicle.ldf / LIN_Matrix.xlsx</t>
        </is>
      </c>
      <c r="O11" s="20" t="inlineStr">
        <is>
          <t>팀 결정안</t>
        </is>
      </c>
      <c r="P11" s="20" t="inlineStr">
        <is>
          <t>상대 담당자 리뷰 필요</t>
        </is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</row>
    <row r="13" ht="22" customHeight="1">
      <c r="A13" s="23" t="inlineStr">
        <is>
          <t>LIN Master schedule</t>
        </is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</row>
    <row r="14" ht="30" customHeight="1">
      <c r="A14" s="9" t="inlineStr">
        <is>
          <t>Slot Time (ms)</t>
        </is>
      </c>
      <c r="B14" s="9" t="inlineStr">
        <is>
          <t>Schedule Entry</t>
        </is>
      </c>
      <c r="C14" s="9" t="inlineStr">
        <is>
          <t>Frame</t>
        </is>
      </c>
      <c r="D14" s="9" t="inlineStr">
        <is>
          <t>Meaning</t>
        </is>
      </c>
      <c r="E14" s="9" t="inlineStr">
        <is>
          <t>Status</t>
        </is>
      </c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</row>
    <row r="15" ht="15" customHeight="1">
      <c r="A15" s="20" t="n">
        <v>0</v>
      </c>
      <c r="B15" s="20" t="n">
        <v>1</v>
      </c>
      <c r="C15" s="20" t="inlineStr">
        <is>
          <t>Door_Status</t>
        </is>
      </c>
      <c r="D15" s="20" t="inlineStr">
        <is>
          <t>Door 상태 수집</t>
        </is>
      </c>
      <c r="E15" s="20" t="inlineStr">
        <is>
          <t>팀 결정안</t>
        </is>
      </c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</row>
    <row r="16" ht="15" customHeight="1">
      <c r="A16" s="20" t="n">
        <v>10</v>
      </c>
      <c r="B16" s="20" t="n">
        <v>2</v>
      </c>
      <c r="C16" s="20" t="inlineStr">
        <is>
          <t>Window_Command</t>
        </is>
      </c>
      <c r="D16" s="20" t="inlineStr">
        <is>
          <t>Window STOP/UP/DOWN command 전달</t>
        </is>
      </c>
      <c r="E16" s="20" t="inlineStr">
        <is>
          <t>팀 결정안</t>
        </is>
      </c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</row>
    <row r="17" ht="15" customHeight="1">
      <c r="A17" s="20" t="n">
        <v>20</v>
      </c>
      <c r="B17" s="20" t="n">
        <v>3</v>
      </c>
      <c r="C17" s="20" t="inlineStr">
        <is>
          <t>Light_Command</t>
        </is>
      </c>
      <c r="D17" s="20" t="inlineStr">
        <is>
          <t>Lamp command 전달</t>
        </is>
      </c>
      <c r="E17" s="20" t="inlineStr">
        <is>
          <t>팀 결정안</t>
        </is>
      </c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</row>
    <row r="18" ht="15" customHeight="1">
      <c r="A18" s="20" t="n">
        <v>30</v>
      </c>
      <c r="B18" s="20" t="n">
        <v>4</v>
      </c>
      <c r="C18" s="20" t="inlineStr">
        <is>
          <t>Window_Status</t>
        </is>
      </c>
      <c r="D18" s="20" t="inlineStr">
        <is>
          <t>Window 상태/limit/motor/alive 수집</t>
        </is>
      </c>
      <c r="E18" s="20" t="inlineStr">
        <is>
          <t>팀 결정안</t>
        </is>
      </c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</row>
    <row r="19" ht="15" customHeight="1">
      <c r="A19" s="20" t="n">
        <v>40</v>
      </c>
      <c r="B19" s="20" t="n">
        <v>5</v>
      </c>
      <c r="C19" s="20" t="inlineStr">
        <is>
          <t>Light_Status</t>
        </is>
      </c>
      <c r="D19" s="20" t="inlineStr">
        <is>
          <t>Lamp 응답 수집</t>
        </is>
      </c>
      <c r="E19" s="20" t="inlineStr">
        <is>
          <t>팀 결정안</t>
        </is>
      </c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</row>
    <row r="20" ht="15" customHeight="1">
      <c r="A20" s="20" t="n">
        <v>50</v>
      </c>
      <c r="B20" s="20" t="n">
        <v>6</v>
      </c>
      <c r="C20" s="20" t="inlineStr">
        <is>
          <t>Idle / Reserved</t>
        </is>
      </c>
      <c r="D20" s="20" t="inlineStr">
        <is>
          <t>향후 확장용 Reserved slot</t>
        </is>
      </c>
      <c r="E20" s="20" t="inlineStr">
        <is>
          <t>팀 결정안</t>
        </is>
      </c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</row>
    <row r="21" ht="15" customHeight="1">
      <c r="A21" s="20" t="n">
        <v>60</v>
      </c>
      <c r="B21" s="20" t="n">
        <v>7</v>
      </c>
      <c r="C21" s="20" t="inlineStr">
        <is>
          <t>Door_Command</t>
        </is>
      </c>
      <c r="D21" s="20" t="inlineStr">
        <is>
          <t>Lock 또는 Request 상태 전달</t>
        </is>
      </c>
      <c r="E21" s="20" t="inlineStr">
        <is>
          <t>팀 결정안</t>
        </is>
      </c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</row>
    <row r="22" ht="15" customHeight="1">
      <c r="A22" s="20" t="n">
        <v>70</v>
      </c>
      <c r="B22" s="20" t="n">
        <v>8</v>
      </c>
      <c r="C22" s="20" t="inlineStr">
        <is>
          <t>Light_Command</t>
        </is>
      </c>
      <c r="D22" s="20" t="inlineStr">
        <is>
          <t>50 ms 주기 충족을 위한 두 번째 Lamp command</t>
        </is>
      </c>
      <c r="E22" s="20" t="inlineStr">
        <is>
          <t>팀 결정안</t>
        </is>
      </c>
    </row>
    <row r="23" ht="15" customHeight="1">
      <c r="A23" s="20" t="n">
        <v>80</v>
      </c>
      <c r="B23" s="20" t="n">
        <v>9</v>
      </c>
      <c r="C23" s="20" t="inlineStr">
        <is>
          <t>Idle / Reserved</t>
        </is>
      </c>
      <c r="D23" s="20" t="inlineStr">
        <is>
          <t>향후 확장용 Reserved slot</t>
        </is>
      </c>
      <c r="E23" s="20" t="inlineStr">
        <is>
          <t>팀 결정안</t>
        </is>
      </c>
    </row>
    <row r="24" ht="15" customHeight="1">
      <c r="A24" s="20" t="n">
        <v>90</v>
      </c>
      <c r="B24" s="20" t="n">
        <v>10</v>
      </c>
      <c r="C24" s="20" t="inlineStr">
        <is>
          <t>Idle / Reserved</t>
        </is>
      </c>
      <c r="D24" s="20" t="inlineStr">
        <is>
          <t>향후 확장용 Reserved slot</t>
        </is>
      </c>
      <c r="E24" s="20" t="inlineStr">
        <is>
          <t>팀 결정안</t>
        </is>
      </c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 ht="15" customHeight="1">
      <c r="A25" s="20" t="n">
        <v>100</v>
      </c>
      <c r="B25" s="20" t="inlineStr">
        <is>
          <t>repeat</t>
        </is>
      </c>
      <c r="C25" s="20" t="inlineStr">
        <is>
          <t>Schedule 0</t>
        </is>
      </c>
      <c r="D25" s="20" t="inlineStr">
        <is>
          <t>10 ms slot / 100 ms supercycle 반복</t>
        </is>
      </c>
      <c r="E25" s="20" t="inlineStr">
        <is>
          <t>팀 결정안</t>
        </is>
      </c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>
      <c r="A27" s="18" t="inlineStr">
        <is>
          <t>LIN 구현 규칙: Gateway가 Schedule/Header를 시작하고 해당 Frame의 Publisher가 Response/Data를 제공. Door no-response 3 cycle, Window no-response 2 cycle을 Offline 기준으로 사용. 10 ms slot / 100 ms supercycle은 FIX Interface이며 vehicle.ldf/Firmware/Test와 1:1 동기화합니다. LIN_Matrix/Schedule은 참고용입니다. PulseView로 PID/Data/Checksum/Timing을 확인합니다.</t>
        </is>
      </c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</row>
  </sheetData>
  <mergeCells count="5">
    <mergeCell ref="A13:P13"/>
    <mergeCell ref="A1:P1"/>
    <mergeCell ref="A27:P28"/>
    <mergeCell ref="A4:P4"/>
    <mergeCell ref="A2:P2"/>
  </mergeCells>
  <conditionalFormatting sqref="E15:E20">
    <cfRule type="containsText" priority="5" operator="containsText" dxfId="4" text="TBD"/>
    <cfRule type="containsText" priority="6" operator="containsText" dxfId="0" text="리뷰"/>
    <cfRule type="containsText" priority="7" operator="containsText" dxfId="2" text="확정"/>
  </conditionalFormatting>
  <conditionalFormatting sqref="O6:O11">
    <cfRule type="containsText" priority="1" operator="containsText" dxfId="4" text="TBD"/>
    <cfRule type="containsText" priority="2" operator="containsText" dxfId="0" text="리뷰"/>
    <cfRule type="containsText" priority="3" operator="containsText" dxfId="2" text="확정"/>
  </conditionalFormatting>
  <conditionalFormatting sqref="P6:P11">
    <cfRule type="containsText" priority="4" operator="containsText" dxfId="0" text="리뷰"/>
  </conditionalFormatting>
  <dataValidations count="2">
    <dataValidation sqref="E15:E20 O6:O11" showDropDown="0" showInputMessage="0" showErrorMessage="0" allowBlank="0" type="list">
      <formula1>"기준 문서 반영,기준 예시,확정,TBD/Open,초안"</formula1>
    </dataValidation>
    <dataValidation sqref="P6:P11" showDropDown="0" showInputMessage="0" showErrorMessage="0" allowBlank="0" type="list">
      <formula1>"없음,담당자 확인,상대 담당자 리뷰 필요"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94A3B8"/>
    <outlinePr summaryBelow="1" summaryRight="1"/>
    <pageSetUpPr/>
  </sheetPr>
  <dimension ref="A1:U84"/>
  <sheetViews>
    <sheetView zoomScale="85" zoomScaleNormal="8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9" sqref="K9"/>
    </sheetView>
  </sheetViews>
  <sheetFormatPr baseColWidth="8" defaultRowHeight="14"/>
  <cols>
    <col width="25" customWidth="1" min="1" max="1"/>
    <col width="18" customWidth="1" min="2" max="2"/>
    <col width="19" customWidth="1" min="3" max="3"/>
    <col width="10" customWidth="1" min="4" max="4"/>
    <col width="9" customWidth="1" min="5" max="5"/>
    <col width="11" customWidth="1" min="6" max="6"/>
    <col width="12" customWidth="1" min="7" max="7"/>
    <col width="9" customWidth="1" min="8" max="11"/>
    <col width="12" customWidth="1" min="12" max="12"/>
    <col width="10" customWidth="1" min="13" max="13"/>
    <col width="11" customWidth="1" min="14" max="14"/>
    <col width="14" customWidth="1" min="15" max="15"/>
    <col width="16" customWidth="1" min="16" max="16"/>
    <col width="17" customWidth="1" min="17" max="17"/>
    <col width="25" customWidth="1" min="18" max="18"/>
    <col width="15" customWidth="1" min="19" max="19"/>
    <col width="23" customWidth="1" min="20" max="21"/>
  </cols>
  <sheetData>
    <row r="1" ht="27" customHeight="1">
      <c r="A1" s="21" t="inlineStr">
        <is>
          <t>LIN Signal Definition</t>
        </is>
      </c>
    </row>
    <row r="2" ht="34" customHeight="1">
      <c r="A2" s="22" t="inlineStr">
        <is>
          <t>Handbook §6.1 Signal 이름을 바탕으로 Team Encoding을 FIX. Start Bit/Length/Byte Order/Scaling/Initial/Invalid은 본 시트를 기준으로 하고 LIN_Matrix는 참고용, vehicle.ldf/Firmware/Test에 동일 반영 후 상대 담당자 리뷰합니다.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</row>
    <row r="4" ht="22" customHeight="1">
      <c r="A4" s="19" t="inlineStr">
        <is>
          <t>Signal detail</t>
        </is>
      </c>
    </row>
    <row r="5" ht="30" customHeight="1">
      <c r="A5" s="9" t="inlineStr">
        <is>
          <t>Signal Key</t>
        </is>
      </c>
      <c r="B5" s="9" t="inlineStr">
        <is>
          <t>Frame Name</t>
        </is>
      </c>
      <c r="C5" s="9" t="inlineStr">
        <is>
          <t>Signal Name</t>
        </is>
      </c>
      <c r="D5" s="9" t="inlineStr">
        <is>
          <t>Start Bit</t>
        </is>
      </c>
      <c r="E5" s="9" t="inlineStr">
        <is>
          <t>Length</t>
        </is>
      </c>
      <c r="F5" s="9" t="inlineStr">
        <is>
          <t>Byte Order</t>
        </is>
      </c>
      <c r="G5" s="9" t="inlineStr">
        <is>
          <t>Data Type</t>
        </is>
      </c>
      <c r="H5" s="9" t="inlineStr">
        <is>
          <t>Factor</t>
        </is>
      </c>
      <c r="I5" s="9" t="inlineStr">
        <is>
          <t>Offset</t>
        </is>
      </c>
      <c r="J5" s="9" t="inlineStr">
        <is>
          <t>Min</t>
        </is>
      </c>
      <c r="K5" s="9" t="inlineStr">
        <is>
          <t>Max</t>
        </is>
      </c>
      <c r="L5" s="9" t="inlineStr">
        <is>
          <t>Unit</t>
        </is>
      </c>
      <c r="M5" s="9" t="inlineStr">
        <is>
          <t>Initial</t>
        </is>
      </c>
      <c r="N5" s="9" t="inlineStr">
        <is>
          <t>Invalid</t>
        </is>
      </c>
      <c r="O5" s="9" t="inlineStr">
        <is>
          <t>Publisher</t>
        </is>
      </c>
      <c r="P5" s="9" t="inlineStr">
        <is>
          <t>Subscriber</t>
        </is>
      </c>
      <c r="Q5" s="9" t="inlineStr">
        <is>
          <t>Value Table</t>
        </is>
      </c>
      <c r="R5" s="9" t="inlineStr">
        <is>
          <t>Source / Trace</t>
        </is>
      </c>
      <c r="S5" s="9" t="inlineStr">
        <is>
          <t>Status</t>
        </is>
      </c>
      <c r="T5" s="9" t="inlineStr">
        <is>
          <t>Review</t>
        </is>
      </c>
      <c r="U5" s="9" t="inlineStr">
        <is>
          <t>Related Requirement</t>
        </is>
      </c>
    </row>
    <row r="6" ht="40" customHeight="1">
      <c r="A6" s="20" t="inlineStr">
        <is>
          <t>Door_Status.DoorOpen</t>
        </is>
      </c>
      <c r="B6" s="20" t="inlineStr">
        <is>
          <t>Door_Status</t>
        </is>
      </c>
      <c r="C6" s="20" t="inlineStr">
        <is>
          <t>DoorOpen</t>
        </is>
      </c>
      <c r="D6" s="20" t="n">
        <v>0</v>
      </c>
      <c r="E6" s="20" t="n">
        <v>1</v>
      </c>
      <c r="F6" s="20" t="inlineStr">
        <is>
          <t>Intel</t>
        </is>
      </c>
      <c r="G6" s="20" t="inlineStr">
        <is>
          <t>bool</t>
        </is>
      </c>
      <c r="H6" s="20" t="n">
        <v>1</v>
      </c>
      <c r="I6" s="20" t="n">
        <v>0</v>
      </c>
      <c r="J6" s="20" t="n">
        <v>0</v>
      </c>
      <c r="K6" s="20" t="n">
        <v>1</v>
      </c>
      <c r="L6" s="20" t="inlineStr">
        <is>
          <t>bool</t>
        </is>
      </c>
      <c r="M6" s="20" t="n">
        <v>0</v>
      </c>
      <c r="N6" s="20" t="inlineStr">
        <is>
          <t>N/A</t>
        </is>
      </c>
      <c r="O6" s="20" t="inlineStr">
        <is>
          <t>Door</t>
        </is>
      </c>
      <c r="P6" s="20" t="inlineStr">
        <is>
          <t>Gateway</t>
        </is>
      </c>
      <c r="Q6" s="20" t="inlineStr">
        <is>
          <t>BOOL</t>
        </is>
      </c>
      <c r="R6" s="20" t="inlineStr">
        <is>
          <t>HB §6.1 Table 6-1 + Team Encoding</t>
        </is>
      </c>
      <c r="S6" s="20" t="inlineStr">
        <is>
          <t>기준+팀 Encoding</t>
        </is>
      </c>
      <c r="T6" s="20" t="inlineStr">
        <is>
          <t>상대 담당자 리뷰 필요</t>
        </is>
      </c>
      <c r="U6" s="20" t="inlineStr">
        <is>
          <t>SYS_REQ_005, SYS_REQ_021</t>
        </is>
      </c>
    </row>
    <row r="7" ht="40" customHeight="1">
      <c r="A7" s="20" t="inlineStr">
        <is>
          <t>Door_Status.DoorLocked</t>
        </is>
      </c>
      <c r="B7" s="20" t="inlineStr">
        <is>
          <t>Door_Status</t>
        </is>
      </c>
      <c r="C7" s="20" t="inlineStr">
        <is>
          <t>DoorLocked</t>
        </is>
      </c>
      <c r="D7" s="20" t="n">
        <v>1</v>
      </c>
      <c r="E7" s="20" t="n">
        <v>1</v>
      </c>
      <c r="F7" s="20" t="inlineStr">
        <is>
          <t>Intel</t>
        </is>
      </c>
      <c r="G7" s="20" t="inlineStr">
        <is>
          <t>bool</t>
        </is>
      </c>
      <c r="H7" s="20" t="n">
        <v>1</v>
      </c>
      <c r="I7" s="20" t="n">
        <v>0</v>
      </c>
      <c r="J7" s="20" t="n">
        <v>0</v>
      </c>
      <c r="K7" s="20" t="n">
        <v>1</v>
      </c>
      <c r="L7" s="20" t="inlineStr">
        <is>
          <t>bool</t>
        </is>
      </c>
      <c r="M7" s="20" t="n">
        <v>0</v>
      </c>
      <c r="N7" s="20" t="inlineStr">
        <is>
          <t>N/A</t>
        </is>
      </c>
      <c r="O7" s="20" t="inlineStr">
        <is>
          <t>Door</t>
        </is>
      </c>
      <c r="P7" s="20" t="inlineStr">
        <is>
          <t>Gateway</t>
        </is>
      </c>
      <c r="Q7" s="20" t="inlineStr">
        <is>
          <t>BOOL</t>
        </is>
      </c>
      <c r="R7" s="20" t="inlineStr">
        <is>
          <t>HB §6.1 Table 6-1 + Team Encoding</t>
        </is>
      </c>
      <c r="S7" s="20" t="inlineStr">
        <is>
          <t>기준+팀 Encoding</t>
        </is>
      </c>
      <c r="T7" s="20" t="inlineStr">
        <is>
          <t>상대 담당자 리뷰 필요</t>
        </is>
      </c>
      <c r="U7" s="20" t="inlineStr">
        <is>
          <t>SYS_REQ_005</t>
        </is>
      </c>
    </row>
    <row r="8" ht="40" customHeight="1">
      <c r="A8" s="20" t="inlineStr">
        <is>
          <t>Door_Status.DoorAlive</t>
        </is>
      </c>
      <c r="B8" s="20" t="inlineStr">
        <is>
          <t>Door_Status</t>
        </is>
      </c>
      <c r="C8" s="20" t="inlineStr">
        <is>
          <t>DoorAlive</t>
        </is>
      </c>
      <c r="D8" s="20" t="n">
        <v>2</v>
      </c>
      <c r="E8" s="20" t="n">
        <v>4</v>
      </c>
      <c r="F8" s="20" t="inlineStr">
        <is>
          <t>Intel</t>
        </is>
      </c>
      <c r="G8" s="20" t="inlineStr">
        <is>
          <t>unsigned</t>
        </is>
      </c>
      <c r="H8" s="20" t="n">
        <v>1</v>
      </c>
      <c r="I8" s="20" t="n">
        <v>0</v>
      </c>
      <c r="J8" s="20" t="n">
        <v>0</v>
      </c>
      <c r="K8" s="20" t="n">
        <v>15</v>
      </c>
      <c r="L8" s="20" t="inlineStr">
        <is>
          <t>count</t>
        </is>
      </c>
      <c r="M8" s="20" t="n">
        <v>0</v>
      </c>
      <c r="N8" s="20" t="inlineStr">
        <is>
          <t>N/A</t>
        </is>
      </c>
      <c r="O8" s="20" t="inlineStr">
        <is>
          <t>Door</t>
        </is>
      </c>
      <c r="P8" s="20" t="inlineStr">
        <is>
          <t>Gateway</t>
        </is>
      </c>
      <c r="Q8" s="20" t="inlineStr">
        <is>
          <t>ALIVE_COUNTER</t>
        </is>
      </c>
      <c r="R8" s="20" t="inlineStr">
        <is>
          <t>HB §6.1; D-07 Alive Policy + Team Encoding</t>
        </is>
      </c>
      <c r="S8" s="20" t="inlineStr">
        <is>
          <t>기준+팀 Encoding</t>
        </is>
      </c>
      <c r="T8" s="20" t="inlineStr">
        <is>
          <t>상대 담당자 리뷰 필요</t>
        </is>
      </c>
      <c r="U8" s="20" t="inlineStr">
        <is>
          <t>SYS_REQ_021-023</t>
        </is>
      </c>
    </row>
    <row r="9" ht="40" customHeight="1">
      <c r="A9" s="20" t="inlineStr">
        <is>
          <t>Door_Command.LockCommand</t>
        </is>
      </c>
      <c r="B9" s="20" t="inlineStr">
        <is>
          <t>Door_Command</t>
        </is>
      </c>
      <c r="C9" s="20" t="inlineStr">
        <is>
          <t>LockCommand</t>
        </is>
      </c>
      <c r="D9" s="20" t="n">
        <v>0</v>
      </c>
      <c r="E9" s="20" t="n">
        <v>2</v>
      </c>
      <c r="F9" s="20" t="inlineStr">
        <is>
          <t>Intel</t>
        </is>
      </c>
      <c r="G9" s="20" t="inlineStr">
        <is>
          <t>enum</t>
        </is>
      </c>
      <c r="H9" s="20" t="n">
        <v>1</v>
      </c>
      <c r="I9" s="20" t="n">
        <v>0</v>
      </c>
      <c r="J9" s="20" t="n">
        <v>0</v>
      </c>
      <c r="K9" s="20" t="n">
        <v>2</v>
      </c>
      <c r="L9" s="20" t="inlineStr">
        <is>
          <t>command</t>
        </is>
      </c>
      <c r="M9" s="20" t="inlineStr">
        <is>
          <t>NO_ACTION</t>
        </is>
      </c>
      <c r="N9" s="20" t="n">
        <v>3</v>
      </c>
      <c r="O9" s="20" t="inlineStr">
        <is>
          <t>Gateway</t>
        </is>
      </c>
      <c r="P9" s="20" t="inlineStr">
        <is>
          <t>Door</t>
        </is>
      </c>
      <c r="Q9" s="20" t="inlineStr">
        <is>
          <t>LOCK_COMMAND</t>
        </is>
      </c>
      <c r="R9" s="20" t="inlineStr">
        <is>
          <t>HB §6.1 Table 6-1 + Team Encoding</t>
        </is>
      </c>
      <c r="S9" s="20" t="inlineStr">
        <is>
          <t>기준+팀 Encoding</t>
        </is>
      </c>
      <c r="T9" s="20" t="inlineStr">
        <is>
          <t>상대 담당자 리뷰 필요</t>
        </is>
      </c>
      <c r="U9" s="20" t="inlineStr">
        <is>
          <t>SYS_REQ_005</t>
        </is>
      </c>
    </row>
    <row r="10" ht="40" customHeight="1">
      <c r="A10" s="20" t="inlineStr">
        <is>
          <t>Door_Command.RequestState</t>
        </is>
      </c>
      <c r="B10" s="20" t="inlineStr">
        <is>
          <t>Door_Command</t>
        </is>
      </c>
      <c r="C10" s="20" t="inlineStr">
        <is>
          <t>RequestState</t>
        </is>
      </c>
      <c r="D10" s="20" t="n">
        <v>2</v>
      </c>
      <c r="E10" s="20" t="n">
        <v>1</v>
      </c>
      <c r="F10" s="20" t="inlineStr">
        <is>
          <t>Intel</t>
        </is>
      </c>
      <c r="G10" s="20" t="inlineStr">
        <is>
          <t>enum</t>
        </is>
      </c>
      <c r="H10" s="20" t="n">
        <v>1</v>
      </c>
      <c r="I10" s="20" t="n">
        <v>0</v>
      </c>
      <c r="J10" s="20" t="n">
        <v>0</v>
      </c>
      <c r="K10" s="20" t="n">
        <v>1</v>
      </c>
      <c r="L10" s="20" t="inlineStr">
        <is>
          <t>state</t>
        </is>
      </c>
      <c r="M10" s="20" t="inlineStr">
        <is>
          <t>NO_REQUEST</t>
        </is>
      </c>
      <c r="N10" s="20" t="inlineStr">
        <is>
          <t>N/A</t>
        </is>
      </c>
      <c r="O10" s="20" t="inlineStr">
        <is>
          <t>Gateway</t>
        </is>
      </c>
      <c r="P10" s="20" t="inlineStr">
        <is>
          <t>Door</t>
        </is>
      </c>
      <c r="Q10" s="20" t="inlineStr">
        <is>
          <t>REQUEST_STATE</t>
        </is>
      </c>
      <c r="R10" s="20" t="inlineStr">
        <is>
          <t>HB §6.1 Table 6-1 + Team Encoding</t>
        </is>
      </c>
      <c r="S10" s="20" t="inlineStr">
        <is>
          <t>기준+팀 Encoding</t>
        </is>
      </c>
      <c r="T10" s="20" t="inlineStr">
        <is>
          <t>상대 담당자 리뷰 필요</t>
        </is>
      </c>
      <c r="U10" s="20" t="inlineStr">
        <is>
          <t>SYS_REQ_005</t>
        </is>
      </c>
    </row>
    <row r="11" ht="40" customHeight="1">
      <c r="A11" s="20" t="inlineStr">
        <is>
          <t>Light_Command.HeadLamp</t>
        </is>
      </c>
      <c r="B11" s="20" t="inlineStr">
        <is>
          <t>Light_Command</t>
        </is>
      </c>
      <c r="C11" s="20" t="inlineStr">
        <is>
          <t>HeadLamp</t>
        </is>
      </c>
      <c r="D11" s="20" t="n">
        <v>0</v>
      </c>
      <c r="E11" s="20" t="n">
        <v>1</v>
      </c>
      <c r="F11" s="20" t="inlineStr">
        <is>
          <t>Intel</t>
        </is>
      </c>
      <c r="G11" s="20" t="inlineStr">
        <is>
          <t>bool</t>
        </is>
      </c>
      <c r="H11" s="20" t="n">
        <v>1</v>
      </c>
      <c r="I11" s="20" t="n">
        <v>0</v>
      </c>
      <c r="J11" s="20" t="n">
        <v>0</v>
      </c>
      <c r="K11" s="20" t="n">
        <v>1</v>
      </c>
      <c r="L11" s="20" t="inlineStr">
        <is>
          <t>bool</t>
        </is>
      </c>
      <c r="M11" s="20" t="n">
        <v>0</v>
      </c>
      <c r="N11" s="20" t="inlineStr">
        <is>
          <t>N/A</t>
        </is>
      </c>
      <c r="O11" s="20" t="inlineStr">
        <is>
          <t>Gateway</t>
        </is>
      </c>
      <c r="P11" s="20" t="inlineStr">
        <is>
          <t>Light</t>
        </is>
      </c>
      <c r="Q11" s="20" t="inlineStr">
        <is>
          <t>BOOL</t>
        </is>
      </c>
      <c r="R11" s="20" t="inlineStr">
        <is>
          <t>HB §6.1 Table 6-1 + Team Encoding</t>
        </is>
      </c>
      <c r="S11" s="20" t="inlineStr">
        <is>
          <t>기준+팀 Encoding</t>
        </is>
      </c>
      <c r="T11" s="20" t="inlineStr">
        <is>
          <t>상대 담당자 리뷰 필요</t>
        </is>
      </c>
      <c r="U11" s="20" t="inlineStr">
        <is>
          <t>SYS_REQ_006</t>
        </is>
      </c>
    </row>
    <row r="12" ht="40" customHeight="1">
      <c r="A12" s="20" t="inlineStr">
        <is>
          <t>Light_Command.TurnLamp</t>
        </is>
      </c>
      <c r="B12" s="20" t="inlineStr">
        <is>
          <t>Light_Command</t>
        </is>
      </c>
      <c r="C12" s="20" t="inlineStr">
        <is>
          <t>TurnLamp</t>
        </is>
      </c>
      <c r="D12" s="20" t="n">
        <v>1</v>
      </c>
      <c r="E12" s="20" t="n">
        <v>2</v>
      </c>
      <c r="F12" s="20" t="inlineStr">
        <is>
          <t>Intel</t>
        </is>
      </c>
      <c r="G12" s="20" t="inlineStr">
        <is>
          <t>enum</t>
        </is>
      </c>
      <c r="H12" s="20" t="n">
        <v>1</v>
      </c>
      <c r="I12" s="20" t="n">
        <v>0</v>
      </c>
      <c r="J12" s="20" t="n">
        <v>0</v>
      </c>
      <c r="K12" s="20" t="n">
        <v>2</v>
      </c>
      <c r="L12" s="20" t="inlineStr">
        <is>
          <t>state</t>
        </is>
      </c>
      <c r="M12" s="20" t="inlineStr">
        <is>
          <t>OFF</t>
        </is>
      </c>
      <c r="N12" s="20" t="n">
        <v>3</v>
      </c>
      <c r="O12" s="20" t="inlineStr">
        <is>
          <t>Gateway</t>
        </is>
      </c>
      <c r="P12" s="20" t="inlineStr">
        <is>
          <t>Light</t>
        </is>
      </c>
      <c r="Q12" s="20" t="inlineStr">
        <is>
          <t>TURN_LAMP</t>
        </is>
      </c>
      <c r="R12" s="20" t="inlineStr">
        <is>
          <t>HB §6.1 Table 6-1 + Team Encoding</t>
        </is>
      </c>
      <c r="S12" s="20" t="inlineStr">
        <is>
          <t>기준+팀 Encoding</t>
        </is>
      </c>
      <c r="T12" s="20" t="inlineStr">
        <is>
          <t>상대 담당자 리뷰 필요</t>
        </is>
      </c>
      <c r="U12" s="20" t="inlineStr">
        <is>
          <t>SYS_REQ_006</t>
        </is>
      </c>
    </row>
    <row r="13" ht="40" customHeight="1">
      <c r="A13" s="20" t="inlineStr">
        <is>
          <t>Light_Command.HazardLamp</t>
        </is>
      </c>
      <c r="B13" s="20" t="inlineStr">
        <is>
          <t>Light_Command</t>
        </is>
      </c>
      <c r="C13" s="20" t="inlineStr">
        <is>
          <t>HazardLamp</t>
        </is>
      </c>
      <c r="D13" s="20" t="n">
        <v>3</v>
      </c>
      <c r="E13" s="20" t="n">
        <v>1</v>
      </c>
      <c r="F13" s="20" t="inlineStr">
        <is>
          <t>Intel</t>
        </is>
      </c>
      <c r="G13" s="20" t="inlineStr">
        <is>
          <t>bool</t>
        </is>
      </c>
      <c r="H13" s="20" t="n">
        <v>1</v>
      </c>
      <c r="I13" s="20" t="n">
        <v>0</v>
      </c>
      <c r="J13" s="20" t="n">
        <v>0</v>
      </c>
      <c r="K13" s="20" t="n">
        <v>1</v>
      </c>
      <c r="L13" s="20" t="inlineStr">
        <is>
          <t>bool</t>
        </is>
      </c>
      <c r="M13" s="20" t="n">
        <v>0</v>
      </c>
      <c r="N13" s="20" t="inlineStr">
        <is>
          <t>N/A</t>
        </is>
      </c>
      <c r="O13" s="20" t="inlineStr">
        <is>
          <t>Gateway</t>
        </is>
      </c>
      <c r="P13" s="20" t="inlineStr">
        <is>
          <t>Light</t>
        </is>
      </c>
      <c r="Q13" s="20" t="inlineStr">
        <is>
          <t>BOOL</t>
        </is>
      </c>
      <c r="R13" s="20" t="inlineStr">
        <is>
          <t>HB §6.1 Table 6-1 + Team Encoding</t>
        </is>
      </c>
      <c r="S13" s="20" t="inlineStr">
        <is>
          <t>기준+팀 Encoding</t>
        </is>
      </c>
      <c r="T13" s="20" t="inlineStr">
        <is>
          <t>상대 담당자 리뷰 필요</t>
        </is>
      </c>
      <c r="U13" s="20" t="inlineStr">
        <is>
          <t>SYS_REQ_006</t>
        </is>
      </c>
    </row>
    <row r="14" ht="40" customHeight="1">
      <c r="A14" s="20" t="inlineStr">
        <is>
          <t>Light_Command.ReverseLamp</t>
        </is>
      </c>
      <c r="B14" s="20" t="inlineStr">
        <is>
          <t>Light_Command</t>
        </is>
      </c>
      <c r="C14" s="20" t="inlineStr">
        <is>
          <t>ReverseLamp</t>
        </is>
      </c>
      <c r="D14" s="20" t="n">
        <v>4</v>
      </c>
      <c r="E14" s="20" t="n">
        <v>1</v>
      </c>
      <c r="F14" s="20" t="inlineStr">
        <is>
          <t>Intel</t>
        </is>
      </c>
      <c r="G14" s="20" t="inlineStr">
        <is>
          <t>bool</t>
        </is>
      </c>
      <c r="H14" s="20" t="n">
        <v>1</v>
      </c>
      <c r="I14" s="20" t="n">
        <v>0</v>
      </c>
      <c r="J14" s="20" t="n">
        <v>0</v>
      </c>
      <c r="K14" s="20" t="n">
        <v>1</v>
      </c>
      <c r="L14" s="20" t="inlineStr">
        <is>
          <t>bool</t>
        </is>
      </c>
      <c r="M14" s="20" t="n">
        <v>0</v>
      </c>
      <c r="N14" s="20" t="inlineStr">
        <is>
          <t>N/A</t>
        </is>
      </c>
      <c r="O14" s="20" t="inlineStr">
        <is>
          <t>Gateway</t>
        </is>
      </c>
      <c r="P14" s="20" t="inlineStr">
        <is>
          <t>Light</t>
        </is>
      </c>
      <c r="Q14" s="20" t="inlineStr">
        <is>
          <t>BOOL</t>
        </is>
      </c>
      <c r="R14" s="20" t="inlineStr">
        <is>
          <t>HB §6.1 Table 6-1 + Team Encoding</t>
        </is>
      </c>
      <c r="S14" s="20" t="inlineStr">
        <is>
          <t>기준+팀 Encoding</t>
        </is>
      </c>
      <c r="T14" s="20" t="inlineStr">
        <is>
          <t>상대 담당자 리뷰 필요</t>
        </is>
      </c>
      <c r="U14" s="20" t="inlineStr">
        <is>
          <t>SYS_REQ_006</t>
        </is>
      </c>
    </row>
    <row r="15" ht="40" customHeight="1">
      <c r="A15" s="20" t="inlineStr">
        <is>
          <t>Light_Command.BrakeLamp</t>
        </is>
      </c>
      <c r="B15" s="20" t="inlineStr">
        <is>
          <t>Light_Command</t>
        </is>
      </c>
      <c r="C15" s="20" t="inlineStr">
        <is>
          <t>BrakeLamp</t>
        </is>
      </c>
      <c r="D15" s="20" t="n">
        <v>5</v>
      </c>
      <c r="E15" s="20" t="n">
        <v>1</v>
      </c>
      <c r="F15" s="20" t="inlineStr">
        <is>
          <t>Intel</t>
        </is>
      </c>
      <c r="G15" s="20" t="inlineStr">
        <is>
          <t>bool</t>
        </is>
      </c>
      <c r="H15" s="20" t="n">
        <v>1</v>
      </c>
      <c r="I15" s="20" t="n">
        <v>0</v>
      </c>
      <c r="J15" s="20" t="n">
        <v>0</v>
      </c>
      <c r="K15" s="20" t="n">
        <v>1</v>
      </c>
      <c r="L15" s="20" t="inlineStr">
        <is>
          <t>bool</t>
        </is>
      </c>
      <c r="M15" s="20" t="n">
        <v>0</v>
      </c>
      <c r="N15" s="20" t="inlineStr">
        <is>
          <t>N/A</t>
        </is>
      </c>
      <c r="O15" s="20" t="inlineStr">
        <is>
          <t>Gateway</t>
        </is>
      </c>
      <c r="P15" s="20" t="inlineStr">
        <is>
          <t>Light</t>
        </is>
      </c>
      <c r="Q15" s="20" t="inlineStr">
        <is>
          <t>BOOL</t>
        </is>
      </c>
      <c r="R15" s="20" t="inlineStr">
        <is>
          <t>HB §6.1 Table 6-1 + Team Encoding</t>
        </is>
      </c>
      <c r="S15" s="20" t="inlineStr">
        <is>
          <t>기준+팀 Encoding</t>
        </is>
      </c>
      <c r="T15" s="20" t="inlineStr">
        <is>
          <t>상대 담당자 리뷰 필요</t>
        </is>
      </c>
      <c r="U15" s="20" t="inlineStr">
        <is>
          <t>SYS_REQ_006</t>
        </is>
      </c>
    </row>
    <row r="16" ht="40" customHeight="1">
      <c r="A16" s="20" t="inlineStr">
        <is>
          <t>Light_Status.LampState</t>
        </is>
      </c>
      <c r="B16" s="20" t="inlineStr">
        <is>
          <t>Light_Status</t>
        </is>
      </c>
      <c r="C16" s="20" t="inlineStr">
        <is>
          <t>LampState</t>
        </is>
      </c>
      <c r="D16" s="20" t="n">
        <v>0</v>
      </c>
      <c r="E16" s="20" t="n">
        <v>6</v>
      </c>
      <c r="F16" s="20" t="inlineStr">
        <is>
          <t>Intel</t>
        </is>
      </c>
      <c r="G16" s="20" t="inlineStr">
        <is>
          <t>unsigned</t>
        </is>
      </c>
      <c r="H16" s="20" t="n">
        <v>1</v>
      </c>
      <c r="I16" s="20" t="n">
        <v>0</v>
      </c>
      <c r="J16" s="20" t="n">
        <v>0</v>
      </c>
      <c r="K16" s="20" t="n">
        <v>63</v>
      </c>
      <c r="L16" s="20" t="inlineStr">
        <is>
          <t>bitmask</t>
        </is>
      </c>
      <c r="M16" s="20" t="n">
        <v>0</v>
      </c>
      <c r="N16" s="20" t="inlineStr">
        <is>
          <t>N/A</t>
        </is>
      </c>
      <c r="O16" s="20" t="inlineStr">
        <is>
          <t>Light</t>
        </is>
      </c>
      <c r="P16" s="20" t="inlineStr">
        <is>
          <t>Gateway</t>
        </is>
      </c>
      <c r="Q16" s="20" t="inlineStr">
        <is>
          <t>LAMP_STATUS_BITS</t>
        </is>
      </c>
      <c r="R16" s="20" t="inlineStr">
        <is>
          <t>HB §6.1 Table 6-1 + Team Encoding</t>
        </is>
      </c>
      <c r="S16" s="20" t="inlineStr">
        <is>
          <t>기준+팀 Encoding</t>
        </is>
      </c>
      <c r="T16" s="20" t="inlineStr">
        <is>
          <t>상대 담당자 리뷰 필요</t>
        </is>
      </c>
      <c r="U16" s="20" t="inlineStr">
        <is>
          <t>SYS_REQ_006</t>
        </is>
      </c>
    </row>
    <row r="17" ht="40" customHeight="1">
      <c r="A17" s="20" t="inlineStr">
        <is>
          <t>Light_Status.LightAlive</t>
        </is>
      </c>
      <c r="B17" s="20" t="inlineStr">
        <is>
          <t>Light_Status</t>
        </is>
      </c>
      <c r="C17" s="20" t="inlineStr">
        <is>
          <t>LightAlive</t>
        </is>
      </c>
      <c r="D17" s="20" t="n">
        <v>8</v>
      </c>
      <c r="E17" s="20" t="n">
        <v>4</v>
      </c>
      <c r="F17" s="20" t="inlineStr">
        <is>
          <t>Intel</t>
        </is>
      </c>
      <c r="G17" s="20" t="inlineStr">
        <is>
          <t>unsigned</t>
        </is>
      </c>
      <c r="H17" s="20" t="n">
        <v>1</v>
      </c>
      <c r="I17" s="20" t="n">
        <v>0</v>
      </c>
      <c r="J17" s="20" t="n">
        <v>0</v>
      </c>
      <c r="K17" s="20" t="n">
        <v>15</v>
      </c>
      <c r="L17" s="20" t="inlineStr">
        <is>
          <t>count</t>
        </is>
      </c>
      <c r="M17" s="20" t="n">
        <v>0</v>
      </c>
      <c r="N17" s="20" t="inlineStr">
        <is>
          <t>N/A</t>
        </is>
      </c>
      <c r="O17" s="20" t="inlineStr">
        <is>
          <t>Light</t>
        </is>
      </c>
      <c r="P17" s="20" t="inlineStr">
        <is>
          <t>Gateway</t>
        </is>
      </c>
      <c r="Q17" s="20" t="inlineStr">
        <is>
          <t>ALIVE_COUNTER</t>
        </is>
      </c>
      <c r="R17" s="20" t="inlineStr">
        <is>
          <t>HB §6.1; D-07 Alive Policy + Team Encoding</t>
        </is>
      </c>
      <c r="S17" s="20" t="inlineStr">
        <is>
          <t>기준+팀 Encoding</t>
        </is>
      </c>
      <c r="T17" s="20" t="inlineStr">
        <is>
          <t>상대 담당자 리뷰 필요</t>
        </is>
      </c>
      <c r="U17" s="20" t="inlineStr">
        <is>
          <t>SYS_REQ_022-023</t>
        </is>
      </c>
    </row>
    <row r="18" ht="40" customHeight="1">
      <c r="A18" s="20" t="inlineStr">
        <is>
          <t>Light_Status.DiagnosticState</t>
        </is>
      </c>
      <c r="B18" s="20" t="inlineStr">
        <is>
          <t>Light_Status</t>
        </is>
      </c>
      <c r="C18" s="20" t="inlineStr">
        <is>
          <t>DiagnosticState</t>
        </is>
      </c>
      <c r="D18" s="20" t="n">
        <v>12</v>
      </c>
      <c r="E18" s="20" t="n">
        <v>2</v>
      </c>
      <c r="F18" s="20" t="inlineStr">
        <is>
          <t>Intel</t>
        </is>
      </c>
      <c r="G18" s="20" t="inlineStr">
        <is>
          <t>enum</t>
        </is>
      </c>
      <c r="H18" s="20" t="n">
        <v>1</v>
      </c>
      <c r="I18" s="20" t="n">
        <v>0</v>
      </c>
      <c r="J18" s="20" t="n">
        <v>0</v>
      </c>
      <c r="K18" s="20" t="n">
        <v>2</v>
      </c>
      <c r="L18" s="20" t="inlineStr">
        <is>
          <t>state</t>
        </is>
      </c>
      <c r="M18" s="20" t="inlineStr">
        <is>
          <t>NORMAL</t>
        </is>
      </c>
      <c r="N18" s="20" t="n">
        <v>3</v>
      </c>
      <c r="O18" s="20" t="inlineStr">
        <is>
          <t>Light</t>
        </is>
      </c>
      <c r="P18" s="20" t="inlineStr">
        <is>
          <t>Gateway</t>
        </is>
      </c>
      <c r="Q18" s="20" t="inlineStr">
        <is>
          <t>DIAG_STATE</t>
        </is>
      </c>
      <c r="R18" s="20" t="inlineStr">
        <is>
          <t>HB §6.1 Table 6-1 + Team Encoding</t>
        </is>
      </c>
      <c r="S18" s="20" t="inlineStr">
        <is>
          <t>기준+팀 Encoding</t>
        </is>
      </c>
      <c r="T18" s="20" t="inlineStr">
        <is>
          <t>상대 담당자 리뷰 필요</t>
        </is>
      </c>
      <c r="U18" s="20" t="inlineStr">
        <is>
          <t>SYS_REQ_017-018</t>
        </is>
      </c>
    </row>
    <row r="19" ht="40" customHeight="1">
      <c r="A19" s="20" t="inlineStr">
        <is>
          <t>Window_Command.WindowCommand</t>
        </is>
      </c>
      <c r="B19" s="20" t="inlineStr">
        <is>
          <t>Window_Command</t>
        </is>
      </c>
      <c r="C19" s="20" t="inlineStr">
        <is>
          <t>WindowCommand</t>
        </is>
      </c>
      <c r="D19" s="20" t="n">
        <v>0</v>
      </c>
      <c r="E19" s="20" t="n">
        <v>2</v>
      </c>
      <c r="F19" s="20" t="inlineStr">
        <is>
          <t>Intel</t>
        </is>
      </c>
      <c r="G19" s="20" t="inlineStr">
        <is>
          <t>enum</t>
        </is>
      </c>
      <c r="H19" s="20" t="n">
        <v>1</v>
      </c>
      <c r="I19" s="20" t="n">
        <v>0</v>
      </c>
      <c r="J19" s="20" t="n">
        <v>0</v>
      </c>
      <c r="K19" s="20" t="n">
        <v>2</v>
      </c>
      <c r="L19" s="20" t="inlineStr">
        <is>
          <t>command</t>
        </is>
      </c>
      <c r="M19" s="20" t="inlineStr">
        <is>
          <t>STOP</t>
        </is>
      </c>
      <c r="N19" s="20" t="n">
        <v>3</v>
      </c>
      <c r="O19" s="20" t="inlineStr">
        <is>
          <t>Gateway</t>
        </is>
      </c>
      <c r="P19" s="20" t="inlineStr">
        <is>
          <t>Window</t>
        </is>
      </c>
      <c r="Q19" s="20" t="inlineStr">
        <is>
          <t>WINDOW_COMMAND</t>
        </is>
      </c>
      <c r="R19" s="20" t="inlineStr">
        <is>
          <t>ARCH §8.2-8.3 + Team Encoding</t>
        </is>
      </c>
      <c r="S19" s="20" t="inlineStr">
        <is>
          <t>팀 결정안</t>
        </is>
      </c>
      <c r="T19" s="20" t="inlineStr">
        <is>
          <t>상대 담당자 리뷰 필요</t>
        </is>
      </c>
      <c r="U19" s="20" t="inlineStr">
        <is>
          <t>SYS_REQ_042-045, SYS_REQ_057, SYS_REQ_059</t>
        </is>
      </c>
    </row>
    <row r="20" ht="40" customHeight="1">
      <c r="A20" s="20" t="inlineStr">
        <is>
          <t>Window_Status.WindowState</t>
        </is>
      </c>
      <c r="B20" s="20" t="inlineStr">
        <is>
          <t>Window_Status</t>
        </is>
      </c>
      <c r="C20" s="20" t="inlineStr">
        <is>
          <t>WindowState</t>
        </is>
      </c>
      <c r="D20" s="20" t="n">
        <v>0</v>
      </c>
      <c r="E20" s="20" t="n">
        <v>3</v>
      </c>
      <c r="F20" s="20" t="inlineStr">
        <is>
          <t>Intel</t>
        </is>
      </c>
      <c r="G20" s="20" t="inlineStr">
        <is>
          <t>enum</t>
        </is>
      </c>
      <c r="H20" s="20" t="n">
        <v>1</v>
      </c>
      <c r="I20" s="20" t="n">
        <v>0</v>
      </c>
      <c r="J20" s="20" t="n">
        <v>0</v>
      </c>
      <c r="K20" s="20" t="n">
        <v>5</v>
      </c>
      <c r="L20" s="20" t="inlineStr">
        <is>
          <t>state</t>
        </is>
      </c>
      <c r="M20" s="20" t="inlineStr">
        <is>
          <t>STOPPED</t>
        </is>
      </c>
      <c r="N20" s="20" t="n">
        <v>7</v>
      </c>
      <c r="O20" s="20" t="inlineStr">
        <is>
          <t>Window</t>
        </is>
      </c>
      <c r="P20" s="20" t="inlineStr">
        <is>
          <t>Gateway</t>
        </is>
      </c>
      <c r="Q20" s="20" t="inlineStr">
        <is>
          <t>WINDOW_STATE</t>
        </is>
      </c>
      <c r="R20" s="20" t="inlineStr">
        <is>
          <t>ARCH §8.2-8.3 + Team Encoding</t>
        </is>
      </c>
      <c r="S20" s="20" t="inlineStr">
        <is>
          <t>팀 결정안</t>
        </is>
      </c>
      <c r="T20" s="20" t="inlineStr">
        <is>
          <t>상대 담당자 리뷰 필요</t>
        </is>
      </c>
      <c r="U20" s="20" t="inlineStr">
        <is>
          <t>SYS_REQ_042-044, SYS_REQ_057</t>
        </is>
      </c>
    </row>
    <row r="21" ht="40" customHeight="1">
      <c r="A21" s="20" t="inlineStr">
        <is>
          <t>Window_Status.UpperLimit</t>
        </is>
      </c>
      <c r="B21" s="20" t="inlineStr">
        <is>
          <t>Window_Status</t>
        </is>
      </c>
      <c r="C21" s="20" t="inlineStr">
        <is>
          <t>UpperLimit</t>
        </is>
      </c>
      <c r="D21" s="20" t="n">
        <v>3</v>
      </c>
      <c r="E21" s="20" t="n">
        <v>1</v>
      </c>
      <c r="F21" s="20" t="inlineStr">
        <is>
          <t>Intel</t>
        </is>
      </c>
      <c r="G21" s="20" t="inlineStr">
        <is>
          <t>bool</t>
        </is>
      </c>
      <c r="H21" s="20" t="n">
        <v>1</v>
      </c>
      <c r="I21" s="20" t="n">
        <v>0</v>
      </c>
      <c r="J21" s="20" t="n">
        <v>0</v>
      </c>
      <c r="K21" s="20" t="n">
        <v>1</v>
      </c>
      <c r="L21" s="20" t="inlineStr">
        <is>
          <t>bool</t>
        </is>
      </c>
      <c r="M21" s="20" t="n">
        <v>0</v>
      </c>
      <c r="N21" s="20" t="inlineStr">
        <is>
          <t>N/A</t>
        </is>
      </c>
      <c r="O21" s="20" t="inlineStr">
        <is>
          <t>Window</t>
        </is>
      </c>
      <c r="P21" s="20" t="inlineStr">
        <is>
          <t>Gateway</t>
        </is>
      </c>
      <c r="Q21" s="20" t="inlineStr">
        <is>
          <t>BOOL</t>
        </is>
      </c>
      <c r="R21" s="20" t="inlineStr">
        <is>
          <t>ARCH §8.2-8.3 + Team Encoding</t>
        </is>
      </c>
      <c r="S21" s="20" t="inlineStr">
        <is>
          <t>팀 결정안</t>
        </is>
      </c>
      <c r="T21" s="20" t="inlineStr">
        <is>
          <t>상대 담당자 리뷰 필요</t>
        </is>
      </c>
      <c r="U21" s="20" t="inlineStr">
        <is>
          <t>SYS_REQ_042-044, SYS_REQ_057</t>
        </is>
      </c>
    </row>
    <row r="22" ht="40" customHeight="1">
      <c r="A22" s="20" t="inlineStr">
        <is>
          <t>Window_Status.LowerLimit</t>
        </is>
      </c>
      <c r="B22" s="20" t="inlineStr">
        <is>
          <t>Window_Status</t>
        </is>
      </c>
      <c r="C22" s="20" t="inlineStr">
        <is>
          <t>LowerLimit</t>
        </is>
      </c>
      <c r="D22" s="20" t="n">
        <v>4</v>
      </c>
      <c r="E22" s="20" t="n">
        <v>1</v>
      </c>
      <c r="F22" s="20" t="inlineStr">
        <is>
          <t>Intel</t>
        </is>
      </c>
      <c r="G22" s="20" t="inlineStr">
        <is>
          <t>bool</t>
        </is>
      </c>
      <c r="H22" s="20" t="n">
        <v>1</v>
      </c>
      <c r="I22" s="20" t="n">
        <v>0</v>
      </c>
      <c r="J22" s="20" t="n">
        <v>0</v>
      </c>
      <c r="K22" s="20" t="n">
        <v>1</v>
      </c>
      <c r="L22" s="20" t="inlineStr">
        <is>
          <t>bool</t>
        </is>
      </c>
      <c r="M22" s="20" t="n">
        <v>0</v>
      </c>
      <c r="N22" s="20" t="inlineStr">
        <is>
          <t>N/A</t>
        </is>
      </c>
      <c r="O22" s="20" t="inlineStr">
        <is>
          <t>Window</t>
        </is>
      </c>
      <c r="P22" s="20" t="inlineStr">
        <is>
          <t>Gateway</t>
        </is>
      </c>
      <c r="Q22" s="20" t="inlineStr">
        <is>
          <t>BOOL</t>
        </is>
      </c>
      <c r="R22" s="20" t="inlineStr">
        <is>
          <t>ARCH §8.2-8.3 + Team Encoding</t>
        </is>
      </c>
      <c r="S22" s="20" t="inlineStr">
        <is>
          <t>팀 결정안</t>
        </is>
      </c>
      <c r="T22" s="20" t="inlineStr">
        <is>
          <t>상대 담당자 리뷰 필요</t>
        </is>
      </c>
      <c r="U22" s="20" t="inlineStr">
        <is>
          <t>SYS_REQ_042-044, SYS_REQ_057</t>
        </is>
      </c>
    </row>
    <row r="23" ht="40" customHeight="1">
      <c r="A23" s="20" t="inlineStr">
        <is>
          <t>Window_Status.MotorState</t>
        </is>
      </c>
      <c r="B23" s="20" t="inlineStr">
        <is>
          <t>Window_Status</t>
        </is>
      </c>
      <c r="C23" s="20" t="inlineStr">
        <is>
          <t>MotorState</t>
        </is>
      </c>
      <c r="D23" s="20" t="n">
        <v>5</v>
      </c>
      <c r="E23" s="20" t="n">
        <v>2</v>
      </c>
      <c r="F23" s="20" t="inlineStr">
        <is>
          <t>Intel</t>
        </is>
      </c>
      <c r="G23" s="20" t="inlineStr">
        <is>
          <t>enum</t>
        </is>
      </c>
      <c r="H23" s="20" t="n">
        <v>1</v>
      </c>
      <c r="I23" s="20" t="n">
        <v>0</v>
      </c>
      <c r="J23" s="20" t="n">
        <v>0</v>
      </c>
      <c r="K23" s="20" t="n">
        <v>3</v>
      </c>
      <c r="L23" s="20" t="inlineStr">
        <is>
          <t>state</t>
        </is>
      </c>
      <c r="M23" s="20" t="inlineStr">
        <is>
          <t>STOPPED</t>
        </is>
      </c>
      <c r="N23" s="20" t="inlineStr">
        <is>
          <t>N/A</t>
        </is>
      </c>
      <c r="O23" s="20" t="inlineStr">
        <is>
          <t>Window</t>
        </is>
      </c>
      <c r="P23" s="20" t="inlineStr">
        <is>
          <t>Gateway</t>
        </is>
      </c>
      <c r="Q23" s="20" t="inlineStr">
        <is>
          <t>WINDOW_MOTOR_STATE</t>
        </is>
      </c>
      <c r="R23" s="20" t="inlineStr">
        <is>
          <t>ARCH §8.2-8.3 + Team Encoding</t>
        </is>
      </c>
      <c r="S23" s="20" t="inlineStr">
        <is>
          <t>팀 결정안</t>
        </is>
      </c>
      <c r="T23" s="20" t="inlineStr">
        <is>
          <t>상대 담당자 리뷰 필요</t>
        </is>
      </c>
      <c r="U23" s="20" t="inlineStr">
        <is>
          <t>SYS_REQ_042-044, SYS_REQ_057</t>
        </is>
      </c>
    </row>
    <row r="24" ht="40" customHeight="1">
      <c r="A24" s="20" t="inlineStr">
        <is>
          <t>Window_Status.WindowAlive</t>
        </is>
      </c>
      <c r="B24" s="20" t="inlineStr">
        <is>
          <t>Window_Status</t>
        </is>
      </c>
      <c r="C24" s="20" t="inlineStr">
        <is>
          <t>WindowAlive</t>
        </is>
      </c>
      <c r="D24" s="20" t="n">
        <v>8</v>
      </c>
      <c r="E24" s="20" t="n">
        <v>4</v>
      </c>
      <c r="F24" s="20" t="inlineStr">
        <is>
          <t>Intel</t>
        </is>
      </c>
      <c r="G24" s="20" t="inlineStr">
        <is>
          <t>unsigned</t>
        </is>
      </c>
      <c r="H24" s="20" t="n">
        <v>1</v>
      </c>
      <c r="I24" s="20" t="n">
        <v>0</v>
      </c>
      <c r="J24" s="20" t="n">
        <v>0</v>
      </c>
      <c r="K24" s="20" t="n">
        <v>15</v>
      </c>
      <c r="L24" s="20" t="inlineStr">
        <is>
          <t>count</t>
        </is>
      </c>
      <c r="M24" s="20" t="n">
        <v>0</v>
      </c>
      <c r="N24" s="20" t="inlineStr">
        <is>
          <t>N/A</t>
        </is>
      </c>
      <c r="O24" s="20" t="inlineStr">
        <is>
          <t>Window</t>
        </is>
      </c>
      <c r="P24" s="20" t="inlineStr">
        <is>
          <t>Gateway</t>
        </is>
      </c>
      <c r="Q24" s="20" t="inlineStr">
        <is>
          <t>ALIVE_COUNTER</t>
        </is>
      </c>
      <c r="R24" s="20" t="inlineStr">
        <is>
          <t>ARCH §8.2-8.3; D-07 Alive Policy + Team Encoding</t>
        </is>
      </c>
      <c r="S24" s="20" t="inlineStr">
        <is>
          <t>팀 결정안</t>
        </is>
      </c>
      <c r="T24" s="20" t="inlineStr">
        <is>
          <t>상대 담당자 리뷰 필요</t>
        </is>
      </c>
      <c r="U24" s="20" t="inlineStr">
        <is>
          <t>SYS_REQ_042-044, SYS_REQ_057</t>
        </is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</row>
    <row r="26" ht="36" customHeight="1">
      <c r="A26" s="18" t="inlineStr">
        <is>
          <t>LIN signal mapping은 Frame/PID/Schedule과 함께 FIX. Door/Light/Window 상세 encoding은 본 문서 기준이며 LIN_Matrix/Schedule은 참고용, vehicle.ldf/Firmware/Test에 동일 반영 후 상대 담당자 리뷰 필요.</t>
        </is>
      </c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</row>
  </sheetData>
  <mergeCells count="4">
    <mergeCell ref="A26:U27"/>
    <mergeCell ref="A1:U1"/>
    <mergeCell ref="A4:U4"/>
    <mergeCell ref="A2:U2"/>
  </mergeCells>
  <conditionalFormatting sqref="S6:S24">
    <cfRule type="containsText" priority="1" operator="containsText" dxfId="4" text="TBD"/>
    <cfRule type="containsText" priority="2" operator="containsText" dxfId="0" text="리뷰"/>
    <cfRule type="containsText" priority="3" operator="containsText" dxfId="2" text="확정"/>
  </conditionalFormatting>
  <conditionalFormatting sqref="T6:T24">
    <cfRule type="containsText" priority="4" operator="containsText" dxfId="0" text="리뷰"/>
  </conditionalFormatting>
  <dataValidations count="2">
    <dataValidation sqref="S6:S24" showDropDown="0" showInputMessage="0" showErrorMessage="0" allowBlank="0" type="list">
      <formula1>"기준 문서 반영,기준 예시,확정,TBD/Open,초안"</formula1>
    </dataValidation>
    <dataValidation sqref="T6:T24" showDropDown="0" showInputMessage="0" showErrorMessage="0" allowBlank="0" type="list">
      <formula1>"없음,담당자 확인,상대 담당자 리뷰 필요"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CBD5E1"/>
    <outlinePr summaryBelow="1" summaryRight="1"/>
    <pageSetUpPr/>
  </sheetPr>
  <dimension ref="A1:I89"/>
  <sheetViews>
    <sheetView zoomScale="85" zoomScaleNormal="85" workbookViewId="0">
      <pane ySplit="5" topLeftCell="A6" activePane="bottomLeft" state="frozen"/>
      <selection pane="bottomLeft" activeCell="J13" sqref="J13"/>
    </sheetView>
  </sheetViews>
  <sheetFormatPr baseColWidth="8" defaultRowHeight="14"/>
  <cols>
    <col width="18" customWidth="1" min="1" max="1"/>
    <col width="26" customWidth="1" min="2" max="2"/>
    <col width="12" customWidth="1" min="3" max="3"/>
    <col width="22" customWidth="1" min="4" max="4"/>
    <col width="38" customWidth="1" min="5" max="5"/>
    <col width="12" customWidth="1" min="6" max="6"/>
    <col width="31" customWidth="1" min="7" max="7"/>
    <col width="28" customWidth="1" min="8" max="8"/>
    <col width="15" customWidth="1" min="9" max="9"/>
  </cols>
  <sheetData>
    <row r="1" ht="27" customHeight="1">
      <c r="A1" s="21" t="inlineStr">
        <is>
          <t>Value Table</t>
        </is>
      </c>
    </row>
    <row r="2" ht="34" customHeight="1">
      <c r="A2" s="22" t="inlineStr">
        <is>
          <t>Enum/state/fault code의 사람이 읽는 의미와 raw encoding을 함께 관리. 본 Workbook Team Encoding이 FIX 기준이며 CAN/LIN Matrix는 참고용, DBC/LDF/FW/Test는 동일 값으로 동기화합니다.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</row>
    <row r="4" ht="22" customHeight="1">
      <c r="A4" s="19" t="inlineStr">
        <is>
          <t>Enumeration and state mapping</t>
        </is>
      </c>
    </row>
    <row r="5" ht="30" customHeight="1">
      <c r="A5" s="9" t="inlineStr">
        <is>
          <t>Table ID</t>
        </is>
      </c>
      <c r="B5" s="9" t="inlineStr">
        <is>
          <t>Domain</t>
        </is>
      </c>
      <c r="C5" s="9" t="inlineStr">
        <is>
          <t>Raw Value</t>
        </is>
      </c>
      <c r="D5" s="9" t="inlineStr">
        <is>
          <t>Label</t>
        </is>
      </c>
      <c r="E5" s="9" t="inlineStr">
        <is>
          <t>Meaning</t>
        </is>
      </c>
      <c r="F5" s="9" t="inlineStr">
        <is>
          <t>Unit</t>
        </is>
      </c>
      <c r="G5" s="9" t="inlineStr">
        <is>
          <t>Encoding Scope</t>
        </is>
      </c>
      <c r="H5" s="9" t="inlineStr">
        <is>
          <t>Source / Trace</t>
        </is>
      </c>
      <c r="I5" s="9" t="inlineStr">
        <is>
          <t>Status</t>
        </is>
      </c>
    </row>
    <row r="6" ht="34" customHeight="1">
      <c r="A6" s="20" t="inlineStr">
        <is>
          <t>GEAR</t>
        </is>
      </c>
      <c r="B6" s="20" t="inlineStr">
        <is>
          <t>VCU_Command / Vehicle_Status</t>
        </is>
      </c>
      <c r="C6" s="20" t="n">
        <v>0</v>
      </c>
      <c r="D6" s="20" t="inlineStr">
        <is>
          <t>P</t>
        </is>
      </c>
      <c r="E6" s="20" t="inlineStr">
        <is>
          <t>Park</t>
        </is>
      </c>
      <c r="F6" s="20" t="inlineStr">
        <is>
          <t>enum</t>
        </is>
      </c>
      <c r="G6" s="20" t="inlineStr">
        <is>
          <t>CAN Signal value</t>
        </is>
      </c>
      <c r="H6" s="20" t="inlineStr">
        <is>
          <t>HB §5.4 Table 5-3</t>
        </is>
      </c>
      <c r="I6" s="20" t="inlineStr">
        <is>
          <t>기준 예시</t>
        </is>
      </c>
    </row>
    <row r="7" ht="34" customHeight="1">
      <c r="A7" s="20" t="inlineStr">
        <is>
          <t>GEAR</t>
        </is>
      </c>
      <c r="B7" s="20" t="inlineStr">
        <is>
          <t>VCU_Command / Vehicle_Status</t>
        </is>
      </c>
      <c r="C7" s="20" t="n">
        <v>1</v>
      </c>
      <c r="D7" s="20" t="inlineStr">
        <is>
          <t>N</t>
        </is>
      </c>
      <c r="E7" s="20" t="inlineStr">
        <is>
          <t>Neutral</t>
        </is>
      </c>
      <c r="F7" s="20" t="inlineStr">
        <is>
          <t>enum</t>
        </is>
      </c>
      <c r="G7" s="20" t="inlineStr">
        <is>
          <t>CAN Signal value</t>
        </is>
      </c>
      <c r="H7" s="20" t="inlineStr">
        <is>
          <t>HB §5.4 Table 5-3</t>
        </is>
      </c>
      <c r="I7" s="20" t="inlineStr">
        <is>
          <t>기준 예시</t>
        </is>
      </c>
    </row>
    <row r="8" ht="34" customHeight="1">
      <c r="A8" s="20" t="inlineStr">
        <is>
          <t>GEAR</t>
        </is>
      </c>
      <c r="B8" s="20" t="inlineStr">
        <is>
          <t>VCU_Command / Vehicle_Status</t>
        </is>
      </c>
      <c r="C8" s="20" t="n">
        <v>2</v>
      </c>
      <c r="D8" s="20" t="inlineStr">
        <is>
          <t>D</t>
        </is>
      </c>
      <c r="E8" s="20" t="inlineStr">
        <is>
          <t>Drive</t>
        </is>
      </c>
      <c r="F8" s="20" t="inlineStr">
        <is>
          <t>enum</t>
        </is>
      </c>
      <c r="G8" s="20" t="inlineStr">
        <is>
          <t>CAN Signal value</t>
        </is>
      </c>
      <c r="H8" s="20" t="inlineStr">
        <is>
          <t>HB §5.4 Table 5-3</t>
        </is>
      </c>
      <c r="I8" s="20" t="inlineStr">
        <is>
          <t>기준 예시</t>
        </is>
      </c>
    </row>
    <row r="9" ht="34" customHeight="1">
      <c r="A9" s="20" t="inlineStr">
        <is>
          <t>GEAR</t>
        </is>
      </c>
      <c r="B9" s="20" t="inlineStr">
        <is>
          <t>VCU_Command / Vehicle_Status</t>
        </is>
      </c>
      <c r="C9" s="20" t="n">
        <v>3</v>
      </c>
      <c r="D9" s="20" t="inlineStr">
        <is>
          <t>R</t>
        </is>
      </c>
      <c r="E9" s="20" t="inlineStr">
        <is>
          <t>Reverse</t>
        </is>
      </c>
      <c r="F9" s="20" t="inlineStr">
        <is>
          <t>enum</t>
        </is>
      </c>
      <c r="G9" s="20" t="inlineStr">
        <is>
          <t>CAN Signal value</t>
        </is>
      </c>
      <c r="H9" s="20" t="inlineStr">
        <is>
          <t>HB §5.4 Table 5-3</t>
        </is>
      </c>
      <c r="I9" s="20" t="inlineStr">
        <is>
          <t>기준 예시</t>
        </is>
      </c>
    </row>
    <row r="10" ht="34" customHeight="1">
      <c r="A10" s="20" t="inlineStr">
        <is>
          <t>GEAR</t>
        </is>
      </c>
      <c r="B10" s="20" t="inlineStr">
        <is>
          <t>VCU_Command / Vehicle_Status</t>
        </is>
      </c>
      <c r="C10" s="8" t="inlineStr">
        <is>
          <t>4-6</t>
        </is>
      </c>
      <c r="D10" s="20" t="inlineStr">
        <is>
          <t>RESERVED</t>
        </is>
      </c>
      <c r="E10" s="20" t="inlineStr">
        <is>
          <t>Reserved / not used</t>
        </is>
      </c>
      <c r="F10" s="20" t="inlineStr">
        <is>
          <t>enum</t>
        </is>
      </c>
      <c r="G10" s="20" t="inlineStr">
        <is>
          <t>CAN Signal value</t>
        </is>
      </c>
      <c r="H10" s="20" t="inlineStr">
        <is>
          <t>HB §5.3 + Team Encoding</t>
        </is>
      </c>
      <c r="I10" s="20" t="inlineStr">
        <is>
          <t>팀 결정안</t>
        </is>
      </c>
    </row>
    <row r="11" ht="34" customHeight="1">
      <c r="A11" s="20" t="inlineStr">
        <is>
          <t>GEAR</t>
        </is>
      </c>
      <c r="B11" s="20" t="inlineStr">
        <is>
          <t>VCU_Command / Vehicle_Status</t>
        </is>
      </c>
      <c r="C11" s="20" t="n">
        <v>7</v>
      </c>
      <c r="D11" s="20" t="inlineStr">
        <is>
          <t>INVALID</t>
        </is>
      </c>
      <c r="E11" s="20" t="inlineStr">
        <is>
          <t>Invalid code</t>
        </is>
      </c>
      <c r="F11" s="20" t="inlineStr">
        <is>
          <t>enum</t>
        </is>
      </c>
      <c r="G11" s="20" t="inlineStr">
        <is>
          <t>CAN Signal value</t>
        </is>
      </c>
      <c r="H11" s="20" t="inlineStr">
        <is>
          <t>HB §5.3 Table 5-2</t>
        </is>
      </c>
      <c r="I11" s="20" t="inlineStr">
        <is>
          <t>기준 예시</t>
        </is>
      </c>
    </row>
    <row r="12" ht="34" customHeight="1">
      <c r="A12" s="20" t="inlineStr">
        <is>
          <t>BOOL</t>
        </is>
      </c>
      <c r="B12" s="20" t="inlineStr">
        <is>
          <t>CAN / LIN</t>
        </is>
      </c>
      <c r="C12" s="20" t="n">
        <v>0</v>
      </c>
      <c r="D12" s="8" t="inlineStr">
        <is>
          <t>FALSE</t>
        </is>
      </c>
      <c r="E12" s="20" t="inlineStr">
        <is>
          <t>Off / inactive</t>
        </is>
      </c>
      <c r="F12" s="20" t="inlineStr">
        <is>
          <t>bool</t>
        </is>
      </c>
      <c r="G12" s="20" t="inlineStr">
        <is>
          <t>Signal value</t>
        </is>
      </c>
      <c r="H12" s="20" t="inlineStr">
        <is>
          <t>HB §5.3 example</t>
        </is>
      </c>
      <c r="I12" s="20" t="inlineStr">
        <is>
          <t>기준 예시</t>
        </is>
      </c>
    </row>
    <row r="13" ht="34" customHeight="1">
      <c r="A13" s="20" t="inlineStr">
        <is>
          <t>BOOL</t>
        </is>
      </c>
      <c r="B13" s="20" t="inlineStr">
        <is>
          <t>CAN / LIN</t>
        </is>
      </c>
      <c r="C13" s="20" t="n">
        <v>1</v>
      </c>
      <c r="D13" s="8" t="inlineStr">
        <is>
          <t>TRUE</t>
        </is>
      </c>
      <c r="E13" s="20" t="inlineStr">
        <is>
          <t>On / active</t>
        </is>
      </c>
      <c r="F13" s="20" t="inlineStr">
        <is>
          <t>bool</t>
        </is>
      </c>
      <c r="G13" s="20" t="inlineStr">
        <is>
          <t>Signal value</t>
        </is>
      </c>
      <c r="H13" s="20" t="inlineStr">
        <is>
          <t>HB §5.3 example</t>
        </is>
      </c>
      <c r="I13" s="20" t="inlineStr">
        <is>
          <t>기준 예시</t>
        </is>
      </c>
    </row>
    <row r="14" ht="34" customHeight="1">
      <c r="A14" s="20" t="inlineStr">
        <is>
          <t>ALIVE_COUNTER</t>
        </is>
      </c>
      <c r="B14" s="20" t="inlineStr">
        <is>
          <t>CAN / LIN</t>
        </is>
      </c>
      <c r="C14" s="20" t="inlineStr">
        <is>
          <t>0-15</t>
        </is>
      </c>
      <c r="D14" s="20" t="inlineStr">
        <is>
          <t>SEQUENCE</t>
        </is>
      </c>
      <c r="E14" s="20" t="inlineStr">
        <is>
          <t>4-bit cyclic counter, 0→15→0 wrap</t>
        </is>
      </c>
      <c r="F14" s="20" t="inlineStr">
        <is>
          <t>count</t>
        </is>
      </c>
      <c r="G14" s="20" t="inlineStr">
        <is>
          <t>Message / Frame policy</t>
        </is>
      </c>
      <c r="H14" s="20" t="inlineStr">
        <is>
          <t>HB §5.1; ARCH §3.D</t>
        </is>
      </c>
      <c r="I14" s="20" t="inlineStr">
        <is>
          <t>확정</t>
        </is>
      </c>
    </row>
    <row r="15" ht="34" customHeight="1">
      <c r="A15" s="20" t="inlineStr">
        <is>
          <t>MOTOR_STATE</t>
        </is>
      </c>
      <c r="B15" s="20" t="inlineStr">
        <is>
          <t>Motor_Status.MotorState</t>
        </is>
      </c>
      <c r="C15" s="20" t="n">
        <v>0</v>
      </c>
      <c r="D15" s="20" t="inlineStr">
        <is>
          <t>OFF</t>
        </is>
      </c>
      <c r="E15" s="20" t="inlineStr">
        <is>
          <t>Motor ECU inactive</t>
        </is>
      </c>
      <c r="F15" s="20" t="inlineStr">
        <is>
          <t>state</t>
        </is>
      </c>
      <c r="G15" s="20" t="inlineStr">
        <is>
          <t>CAN Signal value</t>
        </is>
      </c>
      <c r="H15" s="20" t="inlineStr">
        <is>
          <t>Team Encoding</t>
        </is>
      </c>
      <c r="I15" s="20" t="inlineStr">
        <is>
          <t>팀 결정안</t>
        </is>
      </c>
    </row>
    <row r="16" ht="34" customHeight="1">
      <c r="A16" s="20" t="inlineStr">
        <is>
          <t>MOTOR_STATE</t>
        </is>
      </c>
      <c r="B16" s="20" t="inlineStr">
        <is>
          <t>Motor_Status.MotorState</t>
        </is>
      </c>
      <c r="C16" s="20" t="n">
        <v>1</v>
      </c>
      <c r="D16" s="20" t="inlineStr">
        <is>
          <t>READY</t>
        </is>
      </c>
      <c r="E16" s="20" t="inlineStr">
        <is>
          <t>Ready for command</t>
        </is>
      </c>
      <c r="F16" s="20" t="inlineStr">
        <is>
          <t>state</t>
        </is>
      </c>
      <c r="G16" s="20" t="inlineStr">
        <is>
          <t>CAN Signal value</t>
        </is>
      </c>
      <c r="H16" s="20" t="inlineStr">
        <is>
          <t>Team Encoding</t>
        </is>
      </c>
      <c r="I16" s="20" t="inlineStr">
        <is>
          <t>팀 결정안</t>
        </is>
      </c>
    </row>
    <row r="17" ht="34" customHeight="1">
      <c r="A17" s="20" t="inlineStr">
        <is>
          <t>MOTOR_STATE</t>
        </is>
      </c>
      <c r="B17" s="20" t="inlineStr">
        <is>
          <t>Motor_Status.MotorState</t>
        </is>
      </c>
      <c r="C17" s="20" t="n">
        <v>2</v>
      </c>
      <c r="D17" s="20" t="inlineStr">
        <is>
          <t>RUN</t>
        </is>
      </c>
      <c r="E17" s="20" t="inlineStr">
        <is>
          <t>Virtual Motor operating</t>
        </is>
      </c>
      <c r="F17" s="20" t="inlineStr">
        <is>
          <t>state</t>
        </is>
      </c>
      <c r="G17" s="20" t="inlineStr">
        <is>
          <t>CAN Signal value</t>
        </is>
      </c>
      <c r="H17" s="20" t="inlineStr">
        <is>
          <t>Team Encoding</t>
        </is>
      </c>
      <c r="I17" s="20" t="inlineStr">
        <is>
          <t>팀 결정안</t>
        </is>
      </c>
    </row>
    <row r="18" ht="34" customHeight="1">
      <c r="A18" s="20" t="inlineStr">
        <is>
          <t>MOTOR_STATE</t>
        </is>
      </c>
      <c r="B18" s="20" t="inlineStr">
        <is>
          <t>Motor_Status.MotorState</t>
        </is>
      </c>
      <c r="C18" s="20" t="n">
        <v>3</v>
      </c>
      <c r="D18" s="20" t="inlineStr">
        <is>
          <t>FAIL_SAFE</t>
        </is>
      </c>
      <c r="E18" s="20" t="inlineStr">
        <is>
          <t>Motor local fail-safe active</t>
        </is>
      </c>
      <c r="F18" s="20" t="inlineStr">
        <is>
          <t>state</t>
        </is>
      </c>
      <c r="G18" s="20" t="inlineStr">
        <is>
          <t>CAN Signal value</t>
        </is>
      </c>
      <c r="H18" s="20" t="inlineStr">
        <is>
          <t>D-07 + Team Encoding</t>
        </is>
      </c>
      <c r="I18" s="20" t="inlineStr">
        <is>
          <t>팀 결정안</t>
        </is>
      </c>
    </row>
    <row r="19" ht="34" customHeight="1">
      <c r="A19" s="20" t="inlineStr">
        <is>
          <t>SYSTEM_STATE</t>
        </is>
      </c>
      <c r="B19" s="20" t="inlineStr">
        <is>
          <t>Vehicle_Status.NetworkState / Fault_Status.SystemState</t>
        </is>
      </c>
      <c r="C19" s="20" t="n">
        <v>0</v>
      </c>
      <c r="D19" s="20" t="inlineStr">
        <is>
          <t>NORMAL</t>
        </is>
      </c>
      <c r="E19" s="20" t="inlineStr">
        <is>
          <t>All monitored communication / health normal</t>
        </is>
      </c>
      <c r="F19" s="20" t="inlineStr">
        <is>
          <t>state</t>
        </is>
      </c>
      <c r="G19" s="20" t="inlineStr">
        <is>
          <t>Gateway representative state</t>
        </is>
      </c>
      <c r="H19" s="20" t="inlineStr">
        <is>
          <t>ARCH §3.D; D-07 §4</t>
        </is>
      </c>
      <c r="I19" s="20" t="inlineStr">
        <is>
          <t>기준+팀 Encoding</t>
        </is>
      </c>
    </row>
    <row r="20" ht="34" customHeight="1">
      <c r="A20" s="20" t="inlineStr">
        <is>
          <t>SYSTEM_STATE</t>
        </is>
      </c>
      <c r="B20" s="20" t="inlineStr">
        <is>
          <t>Vehicle_Status.NetworkState / Fault_Status.SystemState</t>
        </is>
      </c>
      <c r="C20" s="20" t="n">
        <v>1</v>
      </c>
      <c r="D20" s="20" t="inlineStr">
        <is>
          <t>DEGRADED</t>
        </is>
      </c>
      <c r="E20" s="20" t="inlineStr">
        <is>
          <t>Anomaly exists, immediate safety action not required</t>
        </is>
      </c>
      <c r="F20" s="20" t="inlineStr">
        <is>
          <t>state</t>
        </is>
      </c>
      <c r="G20" s="20" t="inlineStr">
        <is>
          <t>Gateway representative state</t>
        </is>
      </c>
      <c r="H20" s="20" t="inlineStr">
        <is>
          <t>D-07 §4</t>
        </is>
      </c>
      <c r="I20" s="20" t="inlineStr">
        <is>
          <t>기준+팀 Encoding</t>
        </is>
      </c>
    </row>
    <row r="21" ht="34" customHeight="1">
      <c r="A21" s="20" t="inlineStr">
        <is>
          <t>SYSTEM_STATE</t>
        </is>
      </c>
      <c r="B21" s="20" t="inlineStr">
        <is>
          <t>Vehicle_Status.NetworkState / Fault_Status.SystemState</t>
        </is>
      </c>
      <c r="C21" s="20" t="n">
        <v>2</v>
      </c>
      <c r="D21" s="20" t="inlineStr">
        <is>
          <t>OFFLINE</t>
        </is>
      </c>
      <c r="E21" s="20" t="inlineStr">
        <is>
          <t>ECU / Node communication effectively lost</t>
        </is>
      </c>
      <c r="F21" s="20" t="inlineStr">
        <is>
          <t>state</t>
        </is>
      </c>
      <c r="G21" s="20" t="inlineStr">
        <is>
          <t>Gateway representative state</t>
        </is>
      </c>
      <c r="H21" s="20" t="inlineStr">
        <is>
          <t>ARCH §3.D; D-07 §4</t>
        </is>
      </c>
      <c r="I21" s="20" t="inlineStr">
        <is>
          <t>기준+팀 Encoding</t>
        </is>
      </c>
    </row>
    <row r="22" ht="34" customHeight="1">
      <c r="A22" s="20" t="inlineStr">
        <is>
          <t>SYSTEM_STATE</t>
        </is>
      </c>
      <c r="B22" s="20" t="inlineStr">
        <is>
          <t>Vehicle_Status.NetworkState / Fault_Status.SystemState</t>
        </is>
      </c>
      <c r="C22" s="20" t="n">
        <v>3</v>
      </c>
      <c r="D22" s="20" t="inlineStr">
        <is>
          <t>FAIL_SAFE</t>
        </is>
      </c>
      <c r="E22" s="20" t="inlineStr">
        <is>
          <t>Safety action required</t>
        </is>
      </c>
      <c r="F22" s="20" t="inlineStr">
        <is>
          <t>state</t>
        </is>
      </c>
      <c r="G22" s="20" t="inlineStr">
        <is>
          <t>Gateway representative state</t>
        </is>
      </c>
      <c r="H22" s="20" t="inlineStr">
        <is>
          <t>ARCH §3.D; D-07 §4</t>
        </is>
      </c>
      <c r="I22" s="20" t="inlineStr">
        <is>
          <t>기준+팀 Encoding</t>
        </is>
      </c>
    </row>
    <row r="23">
      <c r="A23" s="27" t="inlineStr">
        <is>
          <t>DOOR_STATE</t>
        </is>
      </c>
      <c r="B23" s="27" t="inlineStr">
        <is>
          <t>Body_Status.DoorStatus</t>
        </is>
      </c>
      <c r="C23" s="27" t="n">
        <v>0</v>
      </c>
      <c r="D23" s="27" t="inlineStr">
        <is>
          <t>CLOSED_UNLOCKED</t>
        </is>
      </c>
      <c r="E23" s="27" t="inlineStr">
        <is>
          <t>Door closed and unlocked</t>
        </is>
      </c>
      <c r="F23" s="27" t="inlineStr">
        <is>
          <t>state</t>
        </is>
      </c>
      <c r="G23" s="27" t="inlineStr">
        <is>
          <t>CAN Body_Status aggregation</t>
        </is>
      </c>
      <c r="H23" s="27" t="inlineStr">
        <is>
          <t>LIN Door_Status + Team Encoding</t>
        </is>
      </c>
      <c r="I23" s="27" t="inlineStr">
        <is>
          <t>팀 결정안</t>
        </is>
      </c>
    </row>
    <row r="24" ht="36" customHeight="1">
      <c r="A24" s="26" t="inlineStr">
        <is>
          <t>DOOR_STATE</t>
        </is>
      </c>
      <c r="B24" s="26" t="inlineStr">
        <is>
          <t>Body_Status.DoorStatus</t>
        </is>
      </c>
      <c r="C24" s="26" t="n">
        <v>1</v>
      </c>
      <c r="D24" s="26" t="inlineStr">
        <is>
          <t>CLOSED_LOCKED</t>
        </is>
      </c>
      <c r="E24" s="26" t="inlineStr">
        <is>
          <t>Door closed and locked</t>
        </is>
      </c>
      <c r="F24" s="26" t="inlineStr">
        <is>
          <t>state</t>
        </is>
      </c>
      <c r="G24" s="26" t="inlineStr">
        <is>
          <t>CAN Body_Status aggregation</t>
        </is>
      </c>
      <c r="H24" s="26" t="inlineStr">
        <is>
          <t>LIN Door_Status + Team Encoding</t>
        </is>
      </c>
      <c r="I24" s="26" t="inlineStr">
        <is>
          <t>팀 결정안</t>
        </is>
      </c>
    </row>
    <row r="25">
      <c r="A25" s="20" t="inlineStr">
        <is>
          <t>DOOR_STATE</t>
        </is>
      </c>
      <c r="B25" s="20" t="inlineStr">
        <is>
          <t>Body_Status.DoorStatus</t>
        </is>
      </c>
      <c r="C25" s="20" t="n">
        <v>2</v>
      </c>
      <c r="D25" s="20" t="inlineStr">
        <is>
          <t>OPEN_UNLOCKED</t>
        </is>
      </c>
      <c r="E25" s="20" t="inlineStr">
        <is>
          <t>Door open and unlocked</t>
        </is>
      </c>
      <c r="F25" s="20" t="inlineStr">
        <is>
          <t>state</t>
        </is>
      </c>
      <c r="G25" s="20" t="inlineStr">
        <is>
          <t>CAN Body_Status aggregation</t>
        </is>
      </c>
      <c r="H25" s="20" t="inlineStr">
        <is>
          <t>LIN Door_Status + Team Encoding</t>
        </is>
      </c>
      <c r="I25" s="20" t="inlineStr">
        <is>
          <t>팀 결정안</t>
        </is>
      </c>
    </row>
    <row r="26">
      <c r="A26" s="27" t="inlineStr">
        <is>
          <t>DOOR_STATE</t>
        </is>
      </c>
      <c r="B26" s="27" t="inlineStr">
        <is>
          <t>Body_Status.DoorStatus</t>
        </is>
      </c>
      <c r="C26" s="27" t="n">
        <v>3</v>
      </c>
      <c r="D26" s="27" t="inlineStr">
        <is>
          <t>OPEN_LOCKED</t>
        </is>
      </c>
      <c r="E26" s="27" t="inlineStr">
        <is>
          <t>Door open and locked</t>
        </is>
      </c>
      <c r="F26" s="27" t="inlineStr">
        <is>
          <t>state</t>
        </is>
      </c>
      <c r="G26" s="27" t="inlineStr">
        <is>
          <t>CAN Body_Status aggregation</t>
        </is>
      </c>
      <c r="H26" s="27" t="inlineStr">
        <is>
          <t>LIN Door_Status + Team Encoding</t>
        </is>
      </c>
      <c r="I26" s="27" t="inlineStr">
        <is>
          <t>팀 결정안</t>
        </is>
      </c>
    </row>
    <row r="27">
      <c r="A27" s="27" t="inlineStr">
        <is>
          <t>DOOR_STATE</t>
        </is>
      </c>
      <c r="B27" s="27" t="inlineStr">
        <is>
          <t>Body_Status.DoorStatus</t>
        </is>
      </c>
      <c r="C27" s="27" t="inlineStr">
        <is>
          <t>0xFF</t>
        </is>
      </c>
      <c r="D27" s="27" t="inlineStr">
        <is>
          <t>INVALID</t>
        </is>
      </c>
      <c r="E27" s="27" t="inlineStr">
        <is>
          <t>Door status invalid / unavailable</t>
        </is>
      </c>
      <c r="F27" s="27" t="inlineStr">
        <is>
          <t>state</t>
        </is>
      </c>
      <c r="G27" s="27" t="inlineStr">
        <is>
          <t>CAN Body_Status aggregation</t>
        </is>
      </c>
      <c r="H27" s="27" t="inlineStr">
        <is>
          <t>Team Encoding</t>
        </is>
      </c>
      <c r="I27" s="27" t="inlineStr">
        <is>
          <t>팀 결정안</t>
        </is>
      </c>
    </row>
    <row r="28">
      <c r="A28" s="27" t="inlineStr">
        <is>
          <t>LAMP_STATUS_BITS</t>
        </is>
      </c>
      <c r="B28" s="27" t="inlineStr">
        <is>
          <t>Light_Status.LampState / Body_Status.LightStatus</t>
        </is>
      </c>
      <c r="C28" s="27" t="inlineStr">
        <is>
          <t>0x00</t>
        </is>
      </c>
      <c r="D28" s="27" t="inlineStr">
        <is>
          <t>ALL_OFF</t>
        </is>
      </c>
      <c r="E28" s="27" t="inlineStr">
        <is>
          <t>All lamp outputs off</t>
        </is>
      </c>
      <c r="F28" s="27" t="inlineStr">
        <is>
          <t>bitmask</t>
        </is>
      </c>
      <c r="G28" s="27" t="inlineStr">
        <is>
          <t>LIN/CAN Lamp status</t>
        </is>
      </c>
      <c r="H28" s="27" t="inlineStr">
        <is>
          <t>Team Encoding</t>
        </is>
      </c>
      <c r="I28" s="27" t="inlineStr">
        <is>
          <t>팀 결정안</t>
        </is>
      </c>
    </row>
    <row r="29">
      <c r="A29" s="27" t="inlineStr">
        <is>
          <t>LAMP_STATUS_BITS</t>
        </is>
      </c>
      <c r="B29" s="27" t="inlineStr">
        <is>
          <t>Light_Status.LampState / Body_Status.LightStatus</t>
        </is>
      </c>
      <c r="C29" s="27" t="inlineStr">
        <is>
          <t>0x01</t>
        </is>
      </c>
      <c r="D29" s="27" t="inlineStr">
        <is>
          <t>HEAD_LAMP</t>
        </is>
      </c>
      <c r="E29" s="27" t="inlineStr">
        <is>
          <t>Head lamp active</t>
        </is>
      </c>
      <c r="F29" s="27" t="inlineStr">
        <is>
          <t>bitmask</t>
        </is>
      </c>
      <c r="G29" s="27" t="inlineStr">
        <is>
          <t>bit 0</t>
        </is>
      </c>
      <c r="H29" s="27" t="inlineStr">
        <is>
          <t>Team Encoding</t>
        </is>
      </c>
      <c r="I29" s="27" t="inlineStr">
        <is>
          <t>팀 결정안</t>
        </is>
      </c>
    </row>
    <row r="30">
      <c r="A30" s="27" t="inlineStr">
        <is>
          <t>LAMP_STATUS_BITS</t>
        </is>
      </c>
      <c r="B30" s="27" t="inlineStr">
        <is>
          <t>Light_Status.LampState / Body_Status.LightStatus</t>
        </is>
      </c>
      <c r="C30" s="27" t="inlineStr">
        <is>
          <t>0x02</t>
        </is>
      </c>
      <c r="D30" s="27" t="inlineStr">
        <is>
          <t>LEFT_TURN</t>
        </is>
      </c>
      <c r="E30" s="27" t="inlineStr">
        <is>
          <t>Left turn lamp active</t>
        </is>
      </c>
      <c r="F30" s="27" t="inlineStr">
        <is>
          <t>bitmask</t>
        </is>
      </c>
      <c r="G30" s="27" t="inlineStr">
        <is>
          <t>bit 1</t>
        </is>
      </c>
      <c r="H30" s="27" t="inlineStr">
        <is>
          <t>Team Encoding</t>
        </is>
      </c>
      <c r="I30" s="27" t="inlineStr">
        <is>
          <t>팀 결정안</t>
        </is>
      </c>
    </row>
    <row r="31">
      <c r="A31" s="27" t="inlineStr">
        <is>
          <t>LAMP_STATUS_BITS</t>
        </is>
      </c>
      <c r="B31" s="27" t="inlineStr">
        <is>
          <t>Light_Status.LampState / Body_Status.LightStatus</t>
        </is>
      </c>
      <c r="C31" s="27" t="inlineStr">
        <is>
          <t>0x04</t>
        </is>
      </c>
      <c r="D31" s="27" t="inlineStr">
        <is>
          <t>RIGHT_TURN</t>
        </is>
      </c>
      <c r="E31" s="27" t="inlineStr">
        <is>
          <t>Right turn lamp active</t>
        </is>
      </c>
      <c r="F31" s="27" t="inlineStr">
        <is>
          <t>bitmask</t>
        </is>
      </c>
      <c r="G31" s="27" t="inlineStr">
        <is>
          <t>bit 2</t>
        </is>
      </c>
      <c r="H31" s="27" t="inlineStr">
        <is>
          <t>Team Encoding</t>
        </is>
      </c>
      <c r="I31" s="27" t="inlineStr">
        <is>
          <t>팀 결정안</t>
        </is>
      </c>
    </row>
    <row r="32">
      <c r="A32" s="27" t="inlineStr">
        <is>
          <t>LAMP_STATUS_BITS</t>
        </is>
      </c>
      <c r="B32" s="27" t="inlineStr">
        <is>
          <t>Light_Status.LampState / Body_Status.LightStatus</t>
        </is>
      </c>
      <c r="C32" s="27" t="inlineStr">
        <is>
          <t>0x08</t>
        </is>
      </c>
      <c r="D32" s="27" t="inlineStr">
        <is>
          <t>HAZARD</t>
        </is>
      </c>
      <c r="E32" s="27" t="inlineStr">
        <is>
          <t>Hazard lamp active</t>
        </is>
      </c>
      <c r="F32" s="27" t="inlineStr">
        <is>
          <t>bitmask</t>
        </is>
      </c>
      <c r="G32" s="27" t="inlineStr">
        <is>
          <t>bit 3</t>
        </is>
      </c>
      <c r="H32" s="27" t="inlineStr">
        <is>
          <t>Team Encoding</t>
        </is>
      </c>
      <c r="I32" s="27" t="inlineStr">
        <is>
          <t>팀 결정안</t>
        </is>
      </c>
    </row>
    <row r="33">
      <c r="A33" s="27" t="inlineStr">
        <is>
          <t>LAMP_STATUS_BITS</t>
        </is>
      </c>
      <c r="B33" s="27" t="inlineStr">
        <is>
          <t>Light_Status.LampState / Body_Status.LightStatus</t>
        </is>
      </c>
      <c r="C33" s="27" t="inlineStr">
        <is>
          <t>0x10</t>
        </is>
      </c>
      <c r="D33" s="27" t="inlineStr">
        <is>
          <t>REVERSE_LAMP</t>
        </is>
      </c>
      <c r="E33" s="27" t="inlineStr">
        <is>
          <t>Reverse lamp active</t>
        </is>
      </c>
      <c r="F33" s="27" t="inlineStr">
        <is>
          <t>bitmask</t>
        </is>
      </c>
      <c r="G33" s="27" t="inlineStr">
        <is>
          <t>bit 4</t>
        </is>
      </c>
      <c r="H33" s="27" t="inlineStr">
        <is>
          <t>Team Encoding</t>
        </is>
      </c>
      <c r="I33" s="27" t="inlineStr">
        <is>
          <t>팀 결정안</t>
        </is>
      </c>
    </row>
    <row r="34">
      <c r="A34" s="27" t="inlineStr">
        <is>
          <t>LAMP_STATUS_BITS</t>
        </is>
      </c>
      <c r="B34" s="27" t="inlineStr">
        <is>
          <t>Light_Status.LampState / Body_Status.LightStatus</t>
        </is>
      </c>
      <c r="C34" s="27" t="inlineStr">
        <is>
          <t>0x20</t>
        </is>
      </c>
      <c r="D34" s="27" t="inlineStr">
        <is>
          <t>BRAKE_LAMP</t>
        </is>
      </c>
      <c r="E34" s="27" t="inlineStr">
        <is>
          <t>Brake lamp active</t>
        </is>
      </c>
      <c r="F34" s="27" t="inlineStr">
        <is>
          <t>bitmask</t>
        </is>
      </c>
      <c r="G34" s="27" t="inlineStr">
        <is>
          <t>bit 5</t>
        </is>
      </c>
      <c r="H34" s="27" t="inlineStr">
        <is>
          <t>Team Encoding</t>
        </is>
      </c>
      <c r="I34" s="27" t="inlineStr">
        <is>
          <t>팀 결정안</t>
        </is>
      </c>
    </row>
    <row r="35">
      <c r="A35" s="27" t="inlineStr">
        <is>
          <t>LAMP_STATUS_BITS</t>
        </is>
      </c>
      <c r="B35" s="27" t="inlineStr">
        <is>
          <t>Body_Status.LightStatus</t>
        </is>
      </c>
      <c r="C35" s="27" t="inlineStr">
        <is>
          <t>0xFF</t>
        </is>
      </c>
      <c r="D35" s="27" t="inlineStr">
        <is>
          <t>INVALID</t>
        </is>
      </c>
      <c r="E35" s="27" t="inlineStr">
        <is>
          <t>LIN Light status unavailable / invalid</t>
        </is>
      </c>
      <c r="F35" s="27" t="inlineStr">
        <is>
          <t>bitmask</t>
        </is>
      </c>
      <c r="G35" s="27" t="inlineStr">
        <is>
          <t>CAN Body_Status only</t>
        </is>
      </c>
      <c r="H35" s="27" t="inlineStr">
        <is>
          <t>Team Encoding</t>
        </is>
      </c>
      <c r="I35" s="27" t="inlineStr">
        <is>
          <t>팀 결정안</t>
        </is>
      </c>
    </row>
    <row r="36">
      <c r="A36" s="27" t="inlineStr">
        <is>
          <t>FAULT_CODE</t>
        </is>
      </c>
      <c r="B36" s="27" t="inlineStr">
        <is>
          <t>Fault_Status.FaultCode</t>
        </is>
      </c>
      <c r="C36" s="27" t="inlineStr">
        <is>
          <t>0x00</t>
        </is>
      </c>
      <c r="D36" s="27" t="inlineStr">
        <is>
          <t>NONE</t>
        </is>
      </c>
      <c r="E36" s="27" t="inlineStr">
        <is>
          <t>No fault code</t>
        </is>
      </c>
      <c r="F36" s="27" t="inlineStr">
        <is>
          <t>code</t>
        </is>
      </c>
      <c r="G36" s="27" t="inlineStr">
        <is>
          <t>Fault_Status encoding</t>
        </is>
      </c>
      <c r="H36" s="27" t="inlineStr">
        <is>
          <t>Team Encoding</t>
        </is>
      </c>
      <c r="I36" s="27" t="inlineStr">
        <is>
          <t>팀 결정안</t>
        </is>
      </c>
    </row>
    <row r="37">
      <c r="A37" s="27" t="inlineStr">
        <is>
          <t>FAULT_CODE</t>
        </is>
      </c>
      <c r="B37" s="27" t="inlineStr">
        <is>
          <t>Fault_Status.FaultCode</t>
        </is>
      </c>
      <c r="C37" s="27" t="inlineStr">
        <is>
          <t>0x01</t>
        </is>
      </c>
      <c r="D37" s="27" t="inlineStr">
        <is>
          <t>VCU_TIMEOUT</t>
        </is>
      </c>
      <c r="E37" s="27" t="inlineStr">
        <is>
          <t>VCU_Command age &gt; 30 ms</t>
        </is>
      </c>
      <c r="F37" s="27" t="inlineStr">
        <is>
          <t>code</t>
        </is>
      </c>
      <c r="G37" s="27" t="inlineStr">
        <is>
          <t>Fault_Status encoding</t>
        </is>
      </c>
      <c r="H37" s="27" t="inlineStr">
        <is>
          <t>HB §10.1; D-07 §4.1</t>
        </is>
      </c>
      <c r="I37" s="27" t="inlineStr">
        <is>
          <t>기준+팀 Encoding</t>
        </is>
      </c>
    </row>
    <row r="38">
      <c r="A38" s="27" t="inlineStr">
        <is>
          <t>FAULT_CODE</t>
        </is>
      </c>
      <c r="B38" s="27" t="inlineStr">
        <is>
          <t>Fault_Status.FaultCode</t>
        </is>
      </c>
      <c r="C38" s="27" t="inlineStr">
        <is>
          <t>0x02</t>
        </is>
      </c>
      <c r="D38" s="27" t="inlineStr">
        <is>
          <t>DOOR_ECU_OFFLINE</t>
        </is>
      </c>
      <c r="E38" s="27" t="inlineStr">
        <is>
          <t>Door_Status no response for 3 cycles</t>
        </is>
      </c>
      <c r="F38" s="27" t="inlineStr">
        <is>
          <t>code</t>
        </is>
      </c>
      <c r="G38" s="27" t="inlineStr">
        <is>
          <t>Fault_Status encoding</t>
        </is>
      </c>
      <c r="H38" s="27" t="inlineStr">
        <is>
          <t>HB §10.1; D-07 §4.1</t>
        </is>
      </c>
      <c r="I38" s="27" t="inlineStr">
        <is>
          <t>기준+팀 Encoding</t>
        </is>
      </c>
    </row>
    <row r="39">
      <c r="A39" s="27" t="inlineStr">
        <is>
          <t>FAULT_CODE</t>
        </is>
      </c>
      <c r="B39" s="27" t="inlineStr">
        <is>
          <t>Fault_Status.FaultCode</t>
        </is>
      </c>
      <c r="C39" s="27" t="inlineStr">
        <is>
          <t>0x03</t>
        </is>
      </c>
      <c r="D39" s="27" t="inlineStr">
        <is>
          <t>ALIVE_ERROR</t>
        </is>
      </c>
      <c r="E39" s="27" t="inlineStr">
        <is>
          <t>Alive sequence discontinuity</t>
        </is>
      </c>
      <c r="F39" s="27" t="inlineStr">
        <is>
          <t>code</t>
        </is>
      </c>
      <c r="G39" s="27" t="inlineStr">
        <is>
          <t>Fault_Status encoding</t>
        </is>
      </c>
      <c r="H39" s="27" t="inlineStr">
        <is>
          <t>HB §10.1; D-07 §4.1</t>
        </is>
      </c>
      <c r="I39" s="27" t="inlineStr">
        <is>
          <t>기준+팀 Encoding</t>
        </is>
      </c>
    </row>
    <row r="40">
      <c r="A40" s="27" t="inlineStr">
        <is>
          <t>FAULT_CODE</t>
        </is>
      </c>
      <c r="B40" s="27" t="inlineStr">
        <is>
          <t>Fault_Status.FaultCode</t>
        </is>
      </c>
      <c r="C40" s="27" t="inlineStr">
        <is>
          <t>0x04</t>
        </is>
      </c>
      <c r="D40" s="27" t="inlineStr">
        <is>
          <t>ECU_OFFLINE</t>
        </is>
      </c>
      <c r="E40" s="27" t="inlineStr">
        <is>
          <t>Generic ECU / node offline state</t>
        </is>
      </c>
      <c r="F40" s="27" t="inlineStr">
        <is>
          <t>code</t>
        </is>
      </c>
      <c r="G40" s="27" t="inlineStr">
        <is>
          <t>Fault_Status encoding</t>
        </is>
      </c>
      <c r="H40" s="27" t="inlineStr">
        <is>
          <t>HB §10.1 + Team Encoding</t>
        </is>
      </c>
      <c r="I40" s="27" t="inlineStr">
        <is>
          <t>기준+팀 Encoding</t>
        </is>
      </c>
    </row>
    <row r="41">
      <c r="A41" s="27" t="inlineStr">
        <is>
          <t>FAULT_CODE</t>
        </is>
      </c>
      <c r="B41" s="27" t="inlineStr">
        <is>
          <t>Fault_Status.FaultCode</t>
        </is>
      </c>
      <c r="C41" s="27" t="inlineStr">
        <is>
          <t>0x05</t>
        </is>
      </c>
      <c r="D41" s="27" t="inlineStr">
        <is>
          <t>QUEUE_DROP</t>
        </is>
      </c>
      <c r="E41" s="27" t="inlineStr">
        <is>
          <t>CAN Rx/Event Queue full or drop</t>
        </is>
      </c>
      <c r="F41" s="27" t="inlineStr">
        <is>
          <t>code</t>
        </is>
      </c>
      <c r="G41" s="27" t="inlineStr">
        <is>
          <t>Fault_Status encoding</t>
        </is>
      </c>
      <c r="H41" s="27" t="inlineStr">
        <is>
          <t>HB §10.1; D-07 §4.1</t>
        </is>
      </c>
      <c r="I41" s="27" t="inlineStr">
        <is>
          <t>기준+팀 Encoding</t>
        </is>
      </c>
    </row>
    <row r="42">
      <c r="A42" s="27" t="inlineStr">
        <is>
          <t>FAULT_CODE</t>
        </is>
      </c>
      <c r="B42" s="27" t="inlineStr">
        <is>
          <t>Fault_Status.FaultCode</t>
        </is>
      </c>
      <c r="C42" s="27" t="inlineStr">
        <is>
          <t>0x06</t>
        </is>
      </c>
      <c r="D42" s="27" t="inlineStr">
        <is>
          <t>WINDOW_ECU_OFFLINE</t>
        </is>
      </c>
      <c r="E42" s="27" t="inlineStr">
        <is>
          <t>Window_Status no response for 2 cycles</t>
        </is>
      </c>
      <c r="F42" s="27" t="inlineStr">
        <is>
          <t>code</t>
        </is>
      </c>
      <c r="G42" s="27" t="inlineStr">
        <is>
          <t>Fault_Status encoding</t>
        </is>
      </c>
      <c r="H42" s="27" t="inlineStr">
        <is>
          <t>ARCH §8.2-8.3/OPN-07/08 + Team Encoding</t>
        </is>
      </c>
      <c r="I42" s="27" t="inlineStr">
        <is>
          <t>팀 결정안</t>
        </is>
      </c>
    </row>
    <row r="43">
      <c r="A43" s="27" t="inlineStr">
        <is>
          <t>FAULT_CODE</t>
        </is>
      </c>
      <c r="B43" s="27" t="inlineStr">
        <is>
          <t>Fault_Status.FaultCode</t>
        </is>
      </c>
      <c r="C43" s="27" t="inlineStr">
        <is>
          <t>0x07-0xFE</t>
        </is>
      </c>
      <c r="D43" s="27" t="inlineStr">
        <is>
          <t>RESERVED</t>
        </is>
      </c>
      <c r="E43" s="27" t="inlineStr">
        <is>
          <t>Reserved for future Fault Code</t>
        </is>
      </c>
      <c r="F43" s="27" t="inlineStr">
        <is>
          <t>code</t>
        </is>
      </c>
      <c r="G43" s="27" t="inlineStr">
        <is>
          <t>Fault_Status encoding</t>
        </is>
      </c>
      <c r="H43" s="27" t="inlineStr">
        <is>
          <t>Team Encoding</t>
        </is>
      </c>
      <c r="I43" s="27" t="inlineStr">
        <is>
          <t>팀 결정안</t>
        </is>
      </c>
    </row>
    <row r="44">
      <c r="A44" s="27" t="inlineStr">
        <is>
          <t>FAULT_CODE</t>
        </is>
      </c>
      <c r="B44" s="27" t="inlineStr">
        <is>
          <t>Fault_Status.FaultCode</t>
        </is>
      </c>
      <c r="C44" s="27" t="inlineStr">
        <is>
          <t>0xFF</t>
        </is>
      </c>
      <c r="D44" s="27" t="inlineStr">
        <is>
          <t>INVALID</t>
        </is>
      </c>
      <c r="E44" s="27" t="inlineStr">
        <is>
          <t>Invalid fault encoding</t>
        </is>
      </c>
      <c r="F44" s="27" t="inlineStr">
        <is>
          <t>code</t>
        </is>
      </c>
      <c r="G44" s="27" t="inlineStr">
        <is>
          <t>Fault_Status encoding</t>
        </is>
      </c>
      <c r="H44" s="27" t="inlineStr">
        <is>
          <t>Team Encoding</t>
        </is>
      </c>
      <c r="I44" s="27" t="inlineStr">
        <is>
          <t>팀 결정안</t>
        </is>
      </c>
    </row>
    <row r="45">
      <c r="A45" s="27" t="inlineStr">
        <is>
          <t>ECU_OFFLINE</t>
        </is>
      </c>
      <c r="B45" s="27" t="inlineStr">
        <is>
          <t>Fault_Status.ECUOffline</t>
        </is>
      </c>
      <c r="C45" s="27" t="n">
        <v>0</v>
      </c>
      <c r="D45" s="27" t="inlineStr">
        <is>
          <t>NONE</t>
        </is>
      </c>
      <c r="E45" s="27" t="inlineStr">
        <is>
          <t>No offline ECU associated with event</t>
        </is>
      </c>
      <c r="F45" s="27" t="inlineStr">
        <is>
          <t>node</t>
        </is>
      </c>
      <c r="G45" s="27" t="inlineStr">
        <is>
          <t>4-bit node encoding</t>
        </is>
      </c>
      <c r="H45" s="27" t="inlineStr">
        <is>
          <t>Team Encoding</t>
        </is>
      </c>
      <c r="I45" s="27" t="inlineStr">
        <is>
          <t>팀 결정안</t>
        </is>
      </c>
    </row>
    <row r="46">
      <c r="A46" s="27" t="inlineStr">
        <is>
          <t>ECU_OFFLINE</t>
        </is>
      </c>
      <c r="B46" s="27" t="inlineStr">
        <is>
          <t>Fault_Status.ECUOffline</t>
        </is>
      </c>
      <c r="C46" s="27" t="n">
        <v>1</v>
      </c>
      <c r="D46" s="27" t="inlineStr">
        <is>
          <t>VCU</t>
        </is>
      </c>
      <c r="E46" s="27" t="inlineStr">
        <is>
          <t>VCU node</t>
        </is>
      </c>
      <c r="F46" s="27" t="inlineStr">
        <is>
          <t>node</t>
        </is>
      </c>
      <c r="G46" s="27" t="inlineStr">
        <is>
          <t>4-bit node encoding</t>
        </is>
      </c>
      <c r="H46" s="27" t="inlineStr">
        <is>
          <t>Team Encoding</t>
        </is>
      </c>
      <c r="I46" s="27" t="inlineStr">
        <is>
          <t>팀 결정안</t>
        </is>
      </c>
    </row>
    <row r="47">
      <c r="A47" s="27" t="inlineStr">
        <is>
          <t>ECU_OFFLINE</t>
        </is>
      </c>
      <c r="B47" s="27" t="inlineStr">
        <is>
          <t>Fault_Status.ECUOffline</t>
        </is>
      </c>
      <c r="C47" s="27" t="n">
        <v>2</v>
      </c>
      <c r="D47" s="27" t="inlineStr">
        <is>
          <t>MOTOR</t>
        </is>
      </c>
      <c r="E47" s="27" t="inlineStr">
        <is>
          <t>Motor ECU node</t>
        </is>
      </c>
      <c r="F47" s="27" t="inlineStr">
        <is>
          <t>node</t>
        </is>
      </c>
      <c r="G47" s="27" t="inlineStr">
        <is>
          <t>4-bit node encoding</t>
        </is>
      </c>
      <c r="H47" s="27" t="inlineStr">
        <is>
          <t>Team Encoding</t>
        </is>
      </c>
      <c r="I47" s="27" t="inlineStr">
        <is>
          <t>팀 결정안</t>
        </is>
      </c>
    </row>
    <row r="48">
      <c r="A48" s="27" t="inlineStr">
        <is>
          <t>ECU_OFFLINE</t>
        </is>
      </c>
      <c r="B48" s="27" t="inlineStr">
        <is>
          <t>Fault_Status.ECUOffline</t>
        </is>
      </c>
      <c r="C48" s="27" t="n">
        <v>3</v>
      </c>
      <c r="D48" s="27" t="inlineStr">
        <is>
          <t>GATEWAY</t>
        </is>
      </c>
      <c r="E48" s="27" t="inlineStr">
        <is>
          <t>Gateway ECU node</t>
        </is>
      </c>
      <c r="F48" s="27" t="inlineStr">
        <is>
          <t>node</t>
        </is>
      </c>
      <c r="G48" s="27" t="inlineStr">
        <is>
          <t>4-bit node encoding</t>
        </is>
      </c>
      <c r="H48" s="27" t="inlineStr">
        <is>
          <t>Team Encoding</t>
        </is>
      </c>
      <c r="I48" s="27" t="inlineStr">
        <is>
          <t>팀 결정안</t>
        </is>
      </c>
    </row>
    <row r="49">
      <c r="A49" s="27" t="inlineStr">
        <is>
          <t>ECU_OFFLINE</t>
        </is>
      </c>
      <c r="B49" s="27" t="inlineStr">
        <is>
          <t>Fault_Status.ECUOffline</t>
        </is>
      </c>
      <c r="C49" s="27" t="n">
        <v>4</v>
      </c>
      <c r="D49" s="27" t="inlineStr">
        <is>
          <t>CLUSTER</t>
        </is>
      </c>
      <c r="E49" s="27" t="inlineStr">
        <is>
          <t>Cluster ECU node</t>
        </is>
      </c>
      <c r="F49" s="27" t="inlineStr">
        <is>
          <t>node</t>
        </is>
      </c>
      <c r="G49" s="27" t="inlineStr">
        <is>
          <t>4-bit node encoding</t>
        </is>
      </c>
      <c r="H49" s="27" t="inlineStr">
        <is>
          <t>Team Encoding</t>
        </is>
      </c>
      <c r="I49" s="27" t="inlineStr">
        <is>
          <t>팀 결정안</t>
        </is>
      </c>
    </row>
    <row r="50">
      <c r="A50" s="27" t="inlineStr">
        <is>
          <t>ECU_OFFLINE</t>
        </is>
      </c>
      <c r="B50" s="27" t="inlineStr">
        <is>
          <t>Fault_Status.ECUOffline</t>
        </is>
      </c>
      <c r="C50" s="27" t="n">
        <v>5</v>
      </c>
      <c r="D50" s="27" t="inlineStr">
        <is>
          <t>DOOR</t>
        </is>
      </c>
      <c r="E50" s="27" t="inlineStr">
        <is>
          <t>Door ECU node</t>
        </is>
      </c>
      <c r="F50" s="27" t="inlineStr">
        <is>
          <t>node</t>
        </is>
      </c>
      <c r="G50" s="27" t="inlineStr">
        <is>
          <t>4-bit node encoding</t>
        </is>
      </c>
      <c r="H50" s="27" t="inlineStr">
        <is>
          <t>Team Encoding</t>
        </is>
      </c>
      <c r="I50" s="27" t="inlineStr">
        <is>
          <t>팀 결정안</t>
        </is>
      </c>
    </row>
    <row r="51">
      <c r="A51" s="27" t="inlineStr">
        <is>
          <t>ECU_OFFLINE</t>
        </is>
      </c>
      <c r="B51" s="27" t="inlineStr">
        <is>
          <t>Fault_Status.ECUOffline</t>
        </is>
      </c>
      <c r="C51" s="27" t="n">
        <v>6</v>
      </c>
      <c r="D51" s="27" t="inlineStr">
        <is>
          <t>LIGHT</t>
        </is>
      </c>
      <c r="E51" s="27" t="inlineStr">
        <is>
          <t>Light ECU node</t>
        </is>
      </c>
      <c r="F51" s="27" t="inlineStr">
        <is>
          <t>node</t>
        </is>
      </c>
      <c r="G51" s="27" t="inlineStr">
        <is>
          <t>4-bit node encoding</t>
        </is>
      </c>
      <c r="H51" s="27" t="inlineStr">
        <is>
          <t>Team Encoding</t>
        </is>
      </c>
      <c r="I51" s="27" t="inlineStr">
        <is>
          <t>팀 결정안</t>
        </is>
      </c>
    </row>
    <row r="52">
      <c r="A52" s="27" t="inlineStr">
        <is>
          <t>ECU_OFFLINE</t>
        </is>
      </c>
      <c r="B52" s="27" t="inlineStr">
        <is>
          <t>Fault_Status.ECUOffline</t>
        </is>
      </c>
      <c r="C52" s="27" t="n">
        <v>7</v>
      </c>
      <c r="D52" s="27" t="inlineStr">
        <is>
          <t>WINDOW</t>
        </is>
      </c>
      <c r="E52" s="27" t="inlineStr">
        <is>
          <t>Window ECU node</t>
        </is>
      </c>
      <c r="F52" s="27" t="inlineStr">
        <is>
          <t>node</t>
        </is>
      </c>
      <c r="G52" s="27" t="inlineStr">
        <is>
          <t>4-bit node encoding</t>
        </is>
      </c>
      <c r="H52" s="27" t="inlineStr">
        <is>
          <t>ARCH §8.2-8.3 + Team Encoding</t>
        </is>
      </c>
      <c r="I52" s="27" t="inlineStr">
        <is>
          <t>팀 결정안</t>
        </is>
      </c>
    </row>
    <row r="53">
      <c r="A53" s="27" t="inlineStr">
        <is>
          <t>ECU_OFFLINE</t>
        </is>
      </c>
      <c r="B53" s="27" t="inlineStr">
        <is>
          <t>Fault_Status.ECUOffline</t>
        </is>
      </c>
      <c r="C53" s="30" t="inlineStr">
        <is>
          <t>8-14</t>
        </is>
      </c>
      <c r="D53" s="27" t="inlineStr">
        <is>
          <t>RESERVED</t>
        </is>
      </c>
      <c r="E53" s="27" t="inlineStr">
        <is>
          <t>Reserved node IDs</t>
        </is>
      </c>
      <c r="F53" s="27" t="inlineStr">
        <is>
          <t>node</t>
        </is>
      </c>
      <c r="G53" s="27" t="inlineStr">
        <is>
          <t>4-bit node encoding</t>
        </is>
      </c>
      <c r="H53" s="27" t="inlineStr">
        <is>
          <t>Team Encoding</t>
        </is>
      </c>
      <c r="I53" s="27" t="inlineStr">
        <is>
          <t>팀 결정안</t>
        </is>
      </c>
    </row>
    <row r="54">
      <c r="A54" s="27" t="inlineStr">
        <is>
          <t>ECU_OFFLINE</t>
        </is>
      </c>
      <c r="B54" s="27" t="inlineStr">
        <is>
          <t>Fault_Status.ECUOffline</t>
        </is>
      </c>
      <c r="C54" s="27" t="n">
        <v>15</v>
      </c>
      <c r="D54" s="27" t="inlineStr">
        <is>
          <t>INVALID</t>
        </is>
      </c>
      <c r="E54" s="27" t="inlineStr">
        <is>
          <t>Invalid node ID</t>
        </is>
      </c>
      <c r="F54" s="27" t="inlineStr">
        <is>
          <t>node</t>
        </is>
      </c>
      <c r="G54" s="27" t="inlineStr">
        <is>
          <t>4-bit node encoding</t>
        </is>
      </c>
      <c r="H54" s="27" t="inlineStr">
        <is>
          <t>Team Encoding</t>
        </is>
      </c>
      <c r="I54" s="27" t="inlineStr">
        <is>
          <t>팀 결정안</t>
        </is>
      </c>
    </row>
    <row r="55">
      <c r="A55" s="27" t="inlineStr">
        <is>
          <t>RECOVERY_STATE</t>
        </is>
      </c>
      <c r="B55" s="27" t="inlineStr">
        <is>
          <t>Fault_Status.RecoveryState</t>
        </is>
      </c>
      <c r="C55" s="27" t="n">
        <v>0</v>
      </c>
      <c r="D55" s="27" t="inlineStr">
        <is>
          <t>ACTIVE</t>
        </is>
      </c>
      <c r="E55" s="27" t="inlineStr">
        <is>
          <t>Fault currently active</t>
        </is>
      </c>
      <c r="F55" s="27" t="inlineStr">
        <is>
          <t>state</t>
        </is>
      </c>
      <c r="G55" s="27" t="inlineStr">
        <is>
          <t>Fault event state</t>
        </is>
      </c>
      <c r="H55" s="27" t="inlineStr">
        <is>
          <t>D-07 §5/§7 + Team Encoding</t>
        </is>
      </c>
      <c r="I55" s="27" t="inlineStr">
        <is>
          <t>기준+팀 Encoding</t>
        </is>
      </c>
    </row>
    <row r="56">
      <c r="A56" s="27" t="inlineStr">
        <is>
          <t>RECOVERY_STATE</t>
        </is>
      </c>
      <c r="B56" s="27" t="inlineStr">
        <is>
          <t>Fault_Status.RecoveryState</t>
        </is>
      </c>
      <c r="C56" s="27" t="n">
        <v>1</v>
      </c>
      <c r="D56" s="27" t="inlineStr">
        <is>
          <t>CLEARED</t>
        </is>
      </c>
      <c r="E56" s="27" t="inlineStr">
        <is>
          <t>Fault recovery condition satisfied</t>
        </is>
      </c>
      <c r="F56" s="27" t="inlineStr">
        <is>
          <t>state</t>
        </is>
      </c>
      <c r="G56" s="27" t="inlineStr">
        <is>
          <t>Fault event state</t>
        </is>
      </c>
      <c r="H56" s="27" t="inlineStr">
        <is>
          <t>D-07 §5/§7 + Team Encoding</t>
        </is>
      </c>
      <c r="I56" s="27" t="inlineStr">
        <is>
          <t>기준+팀 Encoding</t>
        </is>
      </c>
    </row>
    <row r="57">
      <c r="A57" s="27" t="inlineStr">
        <is>
          <t>LOCK_COMMAND</t>
        </is>
      </c>
      <c r="B57" s="27" t="inlineStr">
        <is>
          <t>Door_Command.LockCommand</t>
        </is>
      </c>
      <c r="C57" s="27" t="n">
        <v>0</v>
      </c>
      <c r="D57" s="27" t="inlineStr">
        <is>
          <t>NO_ACTION</t>
        </is>
      </c>
      <c r="E57" s="27" t="inlineStr">
        <is>
          <t>Maintain current lock state</t>
        </is>
      </c>
      <c r="F57" s="27" t="inlineStr">
        <is>
          <t>command</t>
        </is>
      </c>
      <c r="G57" s="27" t="inlineStr">
        <is>
          <t>LIN Signal value</t>
        </is>
      </c>
      <c r="H57" s="27" t="inlineStr">
        <is>
          <t>HB §6.1 + Team Encoding</t>
        </is>
      </c>
      <c r="I57" s="27" t="inlineStr">
        <is>
          <t>팀 결정안</t>
        </is>
      </c>
    </row>
    <row r="58">
      <c r="A58" s="27" t="inlineStr">
        <is>
          <t>LOCK_COMMAND</t>
        </is>
      </c>
      <c r="B58" s="27" t="inlineStr">
        <is>
          <t>Door_Command.LockCommand</t>
        </is>
      </c>
      <c r="C58" s="27" t="n">
        <v>1</v>
      </c>
      <c r="D58" s="27" t="inlineStr">
        <is>
          <t>LOCK</t>
        </is>
      </c>
      <c r="E58" s="27" t="inlineStr">
        <is>
          <t>Lock door</t>
        </is>
      </c>
      <c r="F58" s="27" t="inlineStr">
        <is>
          <t>command</t>
        </is>
      </c>
      <c r="G58" s="27" t="inlineStr">
        <is>
          <t>LIN Signal value</t>
        </is>
      </c>
      <c r="H58" s="27" t="inlineStr">
        <is>
          <t>HB §6.1 + Team Encoding</t>
        </is>
      </c>
      <c r="I58" s="27" t="inlineStr">
        <is>
          <t>팀 결정안</t>
        </is>
      </c>
    </row>
    <row r="59">
      <c r="A59" s="27" t="inlineStr">
        <is>
          <t>LOCK_COMMAND</t>
        </is>
      </c>
      <c r="B59" s="27" t="inlineStr">
        <is>
          <t>Door_Command.LockCommand</t>
        </is>
      </c>
      <c r="C59" s="27" t="n">
        <v>2</v>
      </c>
      <c r="D59" s="27" t="inlineStr">
        <is>
          <t>UNLOCK</t>
        </is>
      </c>
      <c r="E59" s="27" t="inlineStr">
        <is>
          <t>Unlock door</t>
        </is>
      </c>
      <c r="F59" s="27" t="inlineStr">
        <is>
          <t>command</t>
        </is>
      </c>
      <c r="G59" s="27" t="inlineStr">
        <is>
          <t>LIN Signal value</t>
        </is>
      </c>
      <c r="H59" s="27" t="inlineStr">
        <is>
          <t>HB §6.1 + Team Encoding</t>
        </is>
      </c>
      <c r="I59" s="27" t="inlineStr">
        <is>
          <t>팀 결정안</t>
        </is>
      </c>
    </row>
    <row r="60">
      <c r="A60" s="27" t="inlineStr">
        <is>
          <t>LOCK_COMMAND</t>
        </is>
      </c>
      <c r="B60" s="27" t="inlineStr">
        <is>
          <t>Door_Command.LockCommand</t>
        </is>
      </c>
      <c r="C60" s="27" t="n">
        <v>3</v>
      </c>
      <c r="D60" s="27" t="inlineStr">
        <is>
          <t>INVALID</t>
        </is>
      </c>
      <c r="E60" s="27" t="inlineStr">
        <is>
          <t>Invalid lock command</t>
        </is>
      </c>
      <c r="F60" s="27" t="inlineStr">
        <is>
          <t>command</t>
        </is>
      </c>
      <c r="G60" s="27" t="inlineStr">
        <is>
          <t>LIN Signal value</t>
        </is>
      </c>
      <c r="H60" s="27" t="inlineStr">
        <is>
          <t>Team Encoding</t>
        </is>
      </c>
      <c r="I60" s="27" t="inlineStr">
        <is>
          <t>팀 결정안</t>
        </is>
      </c>
    </row>
    <row r="61">
      <c r="A61" s="27" t="inlineStr">
        <is>
          <t>REQUEST_STATE</t>
        </is>
      </c>
      <c r="B61" s="27" t="inlineStr">
        <is>
          <t>Door_Command.RequestState</t>
        </is>
      </c>
      <c r="C61" s="27" t="n">
        <v>0</v>
      </c>
      <c r="D61" s="27" t="inlineStr">
        <is>
          <t>NO_REQUEST</t>
        </is>
      </c>
      <c r="E61" s="27" t="inlineStr">
        <is>
          <t>No status request</t>
        </is>
      </c>
      <c r="F61" s="27" t="inlineStr">
        <is>
          <t>state</t>
        </is>
      </c>
      <c r="G61" s="27" t="inlineStr">
        <is>
          <t>LIN Signal value</t>
        </is>
      </c>
      <c r="H61" s="27" t="inlineStr">
        <is>
          <t>HB §6.1 + Team Encoding</t>
        </is>
      </c>
      <c r="I61" s="27" t="inlineStr">
        <is>
          <t>팀 결정안</t>
        </is>
      </c>
    </row>
    <row r="62">
      <c r="A62" s="27" t="inlineStr">
        <is>
          <t>REQUEST_STATE</t>
        </is>
      </c>
      <c r="B62" s="27" t="inlineStr">
        <is>
          <t>Door_Command.RequestState</t>
        </is>
      </c>
      <c r="C62" s="27" t="n">
        <v>1</v>
      </c>
      <c r="D62" s="27" t="inlineStr">
        <is>
          <t>REQUEST_STATUS</t>
        </is>
      </c>
      <c r="E62" s="27" t="inlineStr">
        <is>
          <t>Request Door status response</t>
        </is>
      </c>
      <c r="F62" s="27" t="inlineStr">
        <is>
          <t>state</t>
        </is>
      </c>
      <c r="G62" s="27" t="inlineStr">
        <is>
          <t>LIN Signal value</t>
        </is>
      </c>
      <c r="H62" s="27" t="inlineStr">
        <is>
          <t>HB §6.1 + Team Encoding</t>
        </is>
      </c>
      <c r="I62" s="27" t="inlineStr">
        <is>
          <t>팀 결정안</t>
        </is>
      </c>
    </row>
    <row r="63">
      <c r="A63" s="27" t="inlineStr">
        <is>
          <t>TURN_LAMP</t>
        </is>
      </c>
      <c r="B63" s="27" t="inlineStr">
        <is>
          <t>Light_Command.TurnLamp</t>
        </is>
      </c>
      <c r="C63" s="27" t="n">
        <v>0</v>
      </c>
      <c r="D63" s="27" t="inlineStr">
        <is>
          <t>OFF</t>
        </is>
      </c>
      <c r="E63" s="27" t="inlineStr">
        <is>
          <t>Turn lamps off</t>
        </is>
      </c>
      <c r="F63" s="27" t="inlineStr">
        <is>
          <t>state</t>
        </is>
      </c>
      <c r="G63" s="27" t="inlineStr">
        <is>
          <t>LIN Signal value</t>
        </is>
      </c>
      <c r="H63" s="27" t="inlineStr">
        <is>
          <t>HB §6.1 + Team Encoding</t>
        </is>
      </c>
      <c r="I63" s="27" t="inlineStr">
        <is>
          <t>팀 결정안</t>
        </is>
      </c>
    </row>
    <row r="64">
      <c r="A64" s="27" t="inlineStr">
        <is>
          <t>TURN_LAMP</t>
        </is>
      </c>
      <c r="B64" s="27" t="inlineStr">
        <is>
          <t>Light_Command.TurnLamp</t>
        </is>
      </c>
      <c r="C64" s="27" t="n">
        <v>1</v>
      </c>
      <c r="D64" s="27" t="inlineStr">
        <is>
          <t>LEFT</t>
        </is>
      </c>
      <c r="E64" s="27" t="inlineStr">
        <is>
          <t>Left turn lamp request</t>
        </is>
      </c>
      <c r="F64" s="27" t="inlineStr">
        <is>
          <t>state</t>
        </is>
      </c>
      <c r="G64" s="27" t="inlineStr">
        <is>
          <t>LIN Signal value</t>
        </is>
      </c>
      <c r="H64" s="27" t="inlineStr">
        <is>
          <t>HB §6.1 + Team Encoding</t>
        </is>
      </c>
      <c r="I64" s="27" t="inlineStr">
        <is>
          <t>팀 결정안</t>
        </is>
      </c>
    </row>
    <row r="65">
      <c r="A65" s="27" t="inlineStr">
        <is>
          <t>TURN_LAMP</t>
        </is>
      </c>
      <c r="B65" s="27" t="inlineStr">
        <is>
          <t>Light_Command.TurnLamp</t>
        </is>
      </c>
      <c r="C65" s="27" t="n">
        <v>2</v>
      </c>
      <c r="D65" s="27" t="inlineStr">
        <is>
          <t>RIGHT</t>
        </is>
      </c>
      <c r="E65" s="27" t="inlineStr">
        <is>
          <t>Right turn lamp request</t>
        </is>
      </c>
      <c r="F65" s="27" t="inlineStr">
        <is>
          <t>state</t>
        </is>
      </c>
      <c r="G65" s="27" t="inlineStr">
        <is>
          <t>LIN Signal value</t>
        </is>
      </c>
      <c r="H65" s="27" t="inlineStr">
        <is>
          <t>HB §6.1 + Team Encoding</t>
        </is>
      </c>
      <c r="I65" s="27" t="inlineStr">
        <is>
          <t>팀 결정안</t>
        </is>
      </c>
    </row>
    <row r="66">
      <c r="A66" s="27" t="inlineStr">
        <is>
          <t>TURN_LAMP</t>
        </is>
      </c>
      <c r="B66" s="27" t="inlineStr">
        <is>
          <t>Light_Command.TurnLamp</t>
        </is>
      </c>
      <c r="C66" s="27" t="n">
        <v>3</v>
      </c>
      <c r="D66" s="27" t="inlineStr">
        <is>
          <t>INVALID</t>
        </is>
      </c>
      <c r="E66" s="27" t="inlineStr">
        <is>
          <t>Invalid turn command</t>
        </is>
      </c>
      <c r="F66" s="27" t="inlineStr">
        <is>
          <t>state</t>
        </is>
      </c>
      <c r="G66" s="27" t="inlineStr">
        <is>
          <t>LIN Signal value</t>
        </is>
      </c>
      <c r="H66" s="27" t="inlineStr">
        <is>
          <t>Team Encoding</t>
        </is>
      </c>
      <c r="I66" s="27" t="inlineStr">
        <is>
          <t>팀 결정안</t>
        </is>
      </c>
    </row>
    <row r="67">
      <c r="A67" s="27" t="inlineStr">
        <is>
          <t>DIAG_STATE</t>
        </is>
      </c>
      <c r="B67" s="27" t="inlineStr">
        <is>
          <t>Light_Status.DiagnosticState</t>
        </is>
      </c>
      <c r="C67" s="27" t="n">
        <v>0</v>
      </c>
      <c r="D67" s="27" t="inlineStr">
        <is>
          <t>NORMAL</t>
        </is>
      </c>
      <c r="E67" s="27" t="inlineStr">
        <is>
          <t>Light ECU normal</t>
        </is>
      </c>
      <c r="F67" s="27" t="inlineStr">
        <is>
          <t>state</t>
        </is>
      </c>
      <c r="G67" s="27" t="inlineStr">
        <is>
          <t>LIN Signal value</t>
        </is>
      </c>
      <c r="H67" s="27" t="inlineStr">
        <is>
          <t>Team Encoding</t>
        </is>
      </c>
      <c r="I67" s="27" t="inlineStr">
        <is>
          <t>팀 결정안</t>
        </is>
      </c>
    </row>
    <row r="68">
      <c r="A68" s="27" t="inlineStr">
        <is>
          <t>DIAG_STATE</t>
        </is>
      </c>
      <c r="B68" s="27" t="inlineStr">
        <is>
          <t>Light_Status.DiagnosticState</t>
        </is>
      </c>
      <c r="C68" s="27" t="n">
        <v>1</v>
      </c>
      <c r="D68" s="27" t="inlineStr">
        <is>
          <t>WARNING</t>
        </is>
      </c>
      <c r="E68" s="27" t="inlineStr">
        <is>
          <t>Light ECU warning</t>
        </is>
      </c>
      <c r="F68" s="27" t="inlineStr">
        <is>
          <t>state</t>
        </is>
      </c>
      <c r="G68" s="27" t="inlineStr">
        <is>
          <t>LIN Signal value</t>
        </is>
      </c>
      <c r="H68" s="27" t="inlineStr">
        <is>
          <t>Team Encoding</t>
        </is>
      </c>
      <c r="I68" s="27" t="inlineStr">
        <is>
          <t>팀 결정안</t>
        </is>
      </c>
    </row>
    <row r="69">
      <c r="A69" s="27" t="inlineStr">
        <is>
          <t>DIAG_STATE</t>
        </is>
      </c>
      <c r="B69" s="27" t="inlineStr">
        <is>
          <t>Light_Status.DiagnosticState</t>
        </is>
      </c>
      <c r="C69" s="27" t="n">
        <v>2</v>
      </c>
      <c r="D69" s="27" t="inlineStr">
        <is>
          <t>FAULT</t>
        </is>
      </c>
      <c r="E69" s="27" t="inlineStr">
        <is>
          <t>Light ECU fault detected</t>
        </is>
      </c>
      <c r="F69" s="27" t="inlineStr">
        <is>
          <t>state</t>
        </is>
      </c>
      <c r="G69" s="27" t="inlineStr">
        <is>
          <t>LIN Signal value</t>
        </is>
      </c>
      <c r="H69" s="27" t="inlineStr">
        <is>
          <t>Team Encoding</t>
        </is>
      </c>
      <c r="I69" s="27" t="inlineStr">
        <is>
          <t>팀 결정안</t>
        </is>
      </c>
    </row>
    <row r="70">
      <c r="A70" s="27" t="inlineStr">
        <is>
          <t>DIAG_STATE</t>
        </is>
      </c>
      <c r="B70" s="27" t="inlineStr">
        <is>
          <t>Light_Status.DiagnosticState</t>
        </is>
      </c>
      <c r="C70" s="27" t="n">
        <v>3</v>
      </c>
      <c r="D70" s="27" t="inlineStr">
        <is>
          <t>INVALID</t>
        </is>
      </c>
      <c r="E70" s="27" t="inlineStr">
        <is>
          <t>Invalid diagnostic state</t>
        </is>
      </c>
      <c r="F70" s="27" t="inlineStr">
        <is>
          <t>state</t>
        </is>
      </c>
      <c r="G70" s="27" t="inlineStr">
        <is>
          <t>LIN Signal value</t>
        </is>
      </c>
      <c r="H70" s="27" t="inlineStr">
        <is>
          <t>Team Encoding</t>
        </is>
      </c>
      <c r="I70" s="27" t="inlineStr">
        <is>
          <t>팀 결정안</t>
        </is>
      </c>
    </row>
    <row r="71">
      <c r="A71" s="27" t="inlineStr">
        <is>
          <t>WINDOW_COMMAND</t>
        </is>
      </c>
      <c r="B71" s="27" t="inlineStr">
        <is>
          <t>Window_Command.WindowCommand</t>
        </is>
      </c>
      <c r="C71" s="27" t="n">
        <v>0</v>
      </c>
      <c r="D71" s="27" t="inlineStr">
        <is>
          <t>STOP</t>
        </is>
      </c>
      <c r="E71" s="27" t="inlineStr">
        <is>
          <t>Stop Window motor</t>
        </is>
      </c>
      <c r="F71" s="27" t="inlineStr">
        <is>
          <t>command</t>
        </is>
      </c>
      <c r="G71" s="27" t="inlineStr">
        <is>
          <t>LIN Signal value</t>
        </is>
      </c>
      <c r="H71" s="27" t="inlineStr">
        <is>
          <t>ARCH §8.2-8.3 + Team Encoding</t>
        </is>
      </c>
      <c r="I71" s="27" t="inlineStr">
        <is>
          <t>팀 결정안</t>
        </is>
      </c>
    </row>
    <row r="72">
      <c r="A72" s="27" t="inlineStr">
        <is>
          <t>WINDOW_COMMAND</t>
        </is>
      </c>
      <c r="B72" s="27" t="inlineStr">
        <is>
          <t>Window_Command.WindowCommand</t>
        </is>
      </c>
      <c r="C72" s="27" t="n">
        <v>1</v>
      </c>
      <c r="D72" s="27" t="inlineStr">
        <is>
          <t>UP</t>
        </is>
      </c>
      <c r="E72" s="27" t="inlineStr">
        <is>
          <t>Move Window upward</t>
        </is>
      </c>
      <c r="F72" s="27" t="inlineStr">
        <is>
          <t>command</t>
        </is>
      </c>
      <c r="G72" s="27" t="inlineStr">
        <is>
          <t>LIN Signal value</t>
        </is>
      </c>
      <c r="H72" s="27" t="inlineStr">
        <is>
          <t>ARCH §8.2-8.3 + Team Encoding</t>
        </is>
      </c>
      <c r="I72" s="27" t="inlineStr">
        <is>
          <t>팀 결정안</t>
        </is>
      </c>
    </row>
    <row r="73">
      <c r="A73" s="27" t="inlineStr">
        <is>
          <t>WINDOW_COMMAND</t>
        </is>
      </c>
      <c r="B73" s="27" t="inlineStr">
        <is>
          <t>Window_Command.WindowCommand</t>
        </is>
      </c>
      <c r="C73" s="27" t="n">
        <v>2</v>
      </c>
      <c r="D73" s="27" t="inlineStr">
        <is>
          <t>DOWN</t>
        </is>
      </c>
      <c r="E73" s="27" t="inlineStr">
        <is>
          <t>Move Window downward</t>
        </is>
      </c>
      <c r="F73" s="27" t="inlineStr">
        <is>
          <t>command</t>
        </is>
      </c>
      <c r="G73" s="27" t="inlineStr">
        <is>
          <t>LIN Signal value</t>
        </is>
      </c>
      <c r="H73" s="27" t="inlineStr">
        <is>
          <t>ARCH §8.2-8.3 + Team Encoding</t>
        </is>
      </c>
      <c r="I73" s="27" t="inlineStr">
        <is>
          <t>팀 결정안</t>
        </is>
      </c>
    </row>
    <row r="74">
      <c r="A74" s="27" t="inlineStr">
        <is>
          <t>WINDOW_COMMAND</t>
        </is>
      </c>
      <c r="B74" s="27" t="inlineStr">
        <is>
          <t>Window_Command.WindowCommand</t>
        </is>
      </c>
      <c r="C74" s="27" t="n">
        <v>3</v>
      </c>
      <c r="D74" s="27" t="inlineStr">
        <is>
          <t>INVALID</t>
        </is>
      </c>
      <c r="E74" s="27" t="inlineStr">
        <is>
          <t>Invalid Window command</t>
        </is>
      </c>
      <c r="F74" s="27" t="inlineStr">
        <is>
          <t>command</t>
        </is>
      </c>
      <c r="G74" s="27" t="inlineStr">
        <is>
          <t>LIN Signal value</t>
        </is>
      </c>
      <c r="H74" s="27" t="inlineStr">
        <is>
          <t>Team Encoding</t>
        </is>
      </c>
      <c r="I74" s="27" t="inlineStr">
        <is>
          <t>팀 결정안</t>
        </is>
      </c>
    </row>
    <row r="75">
      <c r="A75" s="27" t="inlineStr">
        <is>
          <t>WINDOW_STATE</t>
        </is>
      </c>
      <c r="B75" s="27" t="inlineStr">
        <is>
          <t>Window_Status.WindowState / Body_Status.WindowStatus</t>
        </is>
      </c>
      <c r="C75" s="27" t="n">
        <v>0</v>
      </c>
      <c r="D75" s="27" t="inlineStr">
        <is>
          <t>STOPPED</t>
        </is>
      </c>
      <c r="E75" s="27" t="inlineStr">
        <is>
          <t>Window stopped</t>
        </is>
      </c>
      <c r="F75" s="27" t="inlineStr">
        <is>
          <t>state</t>
        </is>
      </c>
      <c r="G75" s="27" t="inlineStr">
        <is>
          <t>LIN Status / CAN aggregation</t>
        </is>
      </c>
      <c r="H75" s="27" t="inlineStr">
        <is>
          <t>ARCH §8.2-8.3 + Team Encoding</t>
        </is>
      </c>
      <c r="I75" s="27" t="inlineStr">
        <is>
          <t>팀 결정안</t>
        </is>
      </c>
    </row>
    <row r="76">
      <c r="A76" s="27" t="inlineStr">
        <is>
          <t>WINDOW_STATE</t>
        </is>
      </c>
      <c r="B76" s="27" t="inlineStr">
        <is>
          <t>Window_Status.WindowState / Body_Status.WindowStatus</t>
        </is>
      </c>
      <c r="C76" s="27" t="n">
        <v>1</v>
      </c>
      <c r="D76" s="27" t="inlineStr">
        <is>
          <t>MOVING_UP</t>
        </is>
      </c>
      <c r="E76" s="27" t="inlineStr">
        <is>
          <t>Window moving upward</t>
        </is>
      </c>
      <c r="F76" s="27" t="inlineStr">
        <is>
          <t>state</t>
        </is>
      </c>
      <c r="G76" s="27" t="inlineStr">
        <is>
          <t>LIN Status / CAN aggregation</t>
        </is>
      </c>
      <c r="H76" s="27" t="inlineStr">
        <is>
          <t>Team Encoding</t>
        </is>
      </c>
      <c r="I76" s="27" t="inlineStr">
        <is>
          <t>팀 결정안</t>
        </is>
      </c>
    </row>
    <row r="77">
      <c r="A77" s="27" t="inlineStr">
        <is>
          <t>WINDOW_STATE</t>
        </is>
      </c>
      <c r="B77" s="27" t="inlineStr">
        <is>
          <t>Window_Status.WindowState / Body_Status.WindowStatus</t>
        </is>
      </c>
      <c r="C77" s="27" t="n">
        <v>2</v>
      </c>
      <c r="D77" s="27" t="inlineStr">
        <is>
          <t>MOVING_DOWN</t>
        </is>
      </c>
      <c r="E77" s="27" t="inlineStr">
        <is>
          <t>Window moving downward</t>
        </is>
      </c>
      <c r="F77" s="27" t="inlineStr">
        <is>
          <t>state</t>
        </is>
      </c>
      <c r="G77" s="27" t="inlineStr">
        <is>
          <t>LIN Status / CAN aggregation</t>
        </is>
      </c>
      <c r="H77" s="27" t="inlineStr">
        <is>
          <t>Team Encoding</t>
        </is>
      </c>
      <c r="I77" s="27" t="inlineStr">
        <is>
          <t>팀 결정안</t>
        </is>
      </c>
    </row>
    <row r="78">
      <c r="A78" s="27" t="inlineStr">
        <is>
          <t>WINDOW_STATE</t>
        </is>
      </c>
      <c r="B78" s="27" t="inlineStr">
        <is>
          <t>Window_Status.WindowState / Body_Status.WindowStatus</t>
        </is>
      </c>
      <c r="C78" s="27" t="n">
        <v>3</v>
      </c>
      <c r="D78" s="27" t="inlineStr">
        <is>
          <t>UPPER_LIMIT</t>
        </is>
      </c>
      <c r="E78" s="27" t="inlineStr">
        <is>
          <t>Upper limit reached</t>
        </is>
      </c>
      <c r="F78" s="27" t="inlineStr">
        <is>
          <t>state</t>
        </is>
      </c>
      <c r="G78" s="27" t="inlineStr">
        <is>
          <t>LIN Status / CAN aggregation</t>
        </is>
      </c>
      <c r="H78" s="27" t="inlineStr">
        <is>
          <t>Team Encoding</t>
        </is>
      </c>
      <c r="I78" s="27" t="inlineStr">
        <is>
          <t>팀 결정안</t>
        </is>
      </c>
    </row>
    <row r="79">
      <c r="A79" s="27" t="inlineStr">
        <is>
          <t>WINDOW_STATE</t>
        </is>
      </c>
      <c r="B79" s="27" t="inlineStr">
        <is>
          <t>Window_Status.WindowState / Body_Status.WindowStatus</t>
        </is>
      </c>
      <c r="C79" s="27" t="n">
        <v>4</v>
      </c>
      <c r="D79" s="27" t="inlineStr">
        <is>
          <t>LOWER_LIMIT</t>
        </is>
      </c>
      <c r="E79" s="27" t="inlineStr">
        <is>
          <t>Lower limit reached</t>
        </is>
      </c>
      <c r="F79" s="27" t="inlineStr">
        <is>
          <t>state</t>
        </is>
      </c>
      <c r="G79" s="27" t="inlineStr">
        <is>
          <t>LIN Status / CAN aggregation</t>
        </is>
      </c>
      <c r="H79" s="27" t="inlineStr">
        <is>
          <t>Team Encoding</t>
        </is>
      </c>
      <c r="I79" s="27" t="inlineStr">
        <is>
          <t>팀 결정안</t>
        </is>
      </c>
    </row>
    <row r="80">
      <c r="A80" s="27" t="inlineStr">
        <is>
          <t>WINDOW_STATE</t>
        </is>
      </c>
      <c r="B80" s="27" t="inlineStr">
        <is>
          <t>Window_Status.WindowState / Body_Status.WindowStatus</t>
        </is>
      </c>
      <c r="C80" s="27" t="n">
        <v>5</v>
      </c>
      <c r="D80" s="27" t="inlineStr">
        <is>
          <t>FAULT</t>
        </is>
      </c>
      <c r="E80" s="27" t="inlineStr">
        <is>
          <t>Window actuator / control fault</t>
        </is>
      </c>
      <c r="F80" s="27" t="inlineStr">
        <is>
          <t>state</t>
        </is>
      </c>
      <c r="G80" s="27" t="inlineStr">
        <is>
          <t>LIN Status / CAN aggregation</t>
        </is>
      </c>
      <c r="H80" s="27" t="inlineStr">
        <is>
          <t>Team Encoding</t>
        </is>
      </c>
      <c r="I80" s="27" t="inlineStr">
        <is>
          <t>팀 결정안</t>
        </is>
      </c>
    </row>
    <row r="81">
      <c r="A81" s="27" t="inlineStr">
        <is>
          <t>WINDOW_STATE</t>
        </is>
      </c>
      <c r="B81" s="27" t="inlineStr">
        <is>
          <t>Window_Status.WindowState / Body_Status.WindowStatus</t>
        </is>
      </c>
      <c r="C81" s="27" t="n">
        <v>6</v>
      </c>
      <c r="D81" s="27" t="inlineStr">
        <is>
          <t>RESERVED</t>
        </is>
      </c>
      <c r="E81" s="27" t="inlineStr">
        <is>
          <t>Reserved</t>
        </is>
      </c>
      <c r="F81" s="27" t="inlineStr">
        <is>
          <t>state</t>
        </is>
      </c>
      <c r="G81" s="27" t="inlineStr">
        <is>
          <t>LIN Status / CAN aggregation</t>
        </is>
      </c>
      <c r="H81" s="27" t="inlineStr">
        <is>
          <t>Team Encoding</t>
        </is>
      </c>
      <c r="I81" s="27" t="inlineStr">
        <is>
          <t>팀 결정안</t>
        </is>
      </c>
    </row>
    <row r="82">
      <c r="A82" s="28" t="inlineStr">
        <is>
          <t>WINDOW_STATE</t>
        </is>
      </c>
      <c r="B82" s="28" t="inlineStr">
        <is>
          <t>Window_Status.WindowState</t>
        </is>
      </c>
      <c r="C82" s="28" t="n">
        <v>7</v>
      </c>
      <c r="D82" s="28" t="inlineStr">
        <is>
          <t>INVALID</t>
        </is>
      </c>
      <c r="E82" s="28" t="inlineStr">
        <is>
          <t>LIN invalid / unavailable Window state</t>
        </is>
      </c>
      <c r="F82" s="28" t="inlineStr">
        <is>
          <t>state</t>
        </is>
      </c>
      <c r="G82" s="28" t="inlineStr">
        <is>
          <t>LIN Signal value</t>
        </is>
      </c>
      <c r="H82" s="28" t="inlineStr">
        <is>
          <t>Team Encoding</t>
        </is>
      </c>
      <c r="I82" s="28" t="inlineStr">
        <is>
          <t>팀 결정안</t>
        </is>
      </c>
    </row>
    <row r="83">
      <c r="A83" s="28" t="inlineStr">
        <is>
          <t>WINDOW_STATE</t>
        </is>
      </c>
      <c r="B83" s="28" t="inlineStr">
        <is>
          <t>Body_Status.WindowStatus</t>
        </is>
      </c>
      <c r="C83" s="28" t="inlineStr">
        <is>
          <t>0xFF</t>
        </is>
      </c>
      <c r="D83" s="28" t="inlineStr">
        <is>
          <t>INVALID</t>
        </is>
      </c>
      <c r="E83" s="28" t="inlineStr">
        <is>
          <t>Invalid / unavailable Window state</t>
        </is>
      </c>
      <c r="F83" s="28" t="inlineStr">
        <is>
          <t>state</t>
        </is>
      </c>
      <c r="G83" s="28" t="inlineStr">
        <is>
          <t>CAN Body_Status aggregation</t>
        </is>
      </c>
      <c r="H83" s="28" t="inlineStr">
        <is>
          <t>Team Encoding</t>
        </is>
      </c>
      <c r="I83" s="28" t="inlineStr">
        <is>
          <t>팀 결정안</t>
        </is>
      </c>
    </row>
    <row r="84">
      <c r="A84" s="28" t="inlineStr">
        <is>
          <t>WINDOW_MOTOR_STATE</t>
        </is>
      </c>
      <c r="B84" s="28" t="inlineStr">
        <is>
          <t>Window_Status.MotorState</t>
        </is>
      </c>
      <c r="C84" s="28" t="n">
        <v>0</v>
      </c>
      <c r="D84" s="28" t="inlineStr">
        <is>
          <t>STOPPED</t>
        </is>
      </c>
      <c r="E84" s="28" t="inlineStr">
        <is>
          <t>Motor stopped</t>
        </is>
      </c>
      <c r="F84" s="28" t="inlineStr">
        <is>
          <t>state</t>
        </is>
      </c>
      <c r="G84" s="28" t="inlineStr">
        <is>
          <t>LIN Signal value</t>
        </is>
      </c>
      <c r="H84" s="28" t="inlineStr">
        <is>
          <t>Team Encoding</t>
        </is>
      </c>
      <c r="I84" s="28" t="inlineStr">
        <is>
          <t>팀 결정안</t>
        </is>
      </c>
    </row>
    <row r="85">
      <c r="A85" s="28" t="inlineStr">
        <is>
          <t>WINDOW_MOTOR_STATE</t>
        </is>
      </c>
      <c r="B85" s="28" t="inlineStr">
        <is>
          <t>Window_Status.MotorState</t>
        </is>
      </c>
      <c r="C85" s="28" t="n">
        <v>1</v>
      </c>
      <c r="D85" s="28" t="inlineStr">
        <is>
          <t>DRIVING_UP</t>
        </is>
      </c>
      <c r="E85" s="28" t="inlineStr">
        <is>
          <t>Motor driving upward</t>
        </is>
      </c>
      <c r="F85" s="28" t="inlineStr">
        <is>
          <t>state</t>
        </is>
      </c>
      <c r="G85" s="28" t="inlineStr">
        <is>
          <t>LIN Signal value</t>
        </is>
      </c>
      <c r="H85" s="28" t="inlineStr">
        <is>
          <t>Team Encoding</t>
        </is>
      </c>
      <c r="I85" s="28" t="inlineStr">
        <is>
          <t>팀 결정안</t>
        </is>
      </c>
    </row>
    <row r="86">
      <c r="A86" s="28" t="inlineStr">
        <is>
          <t>WINDOW_MOTOR_STATE</t>
        </is>
      </c>
      <c r="B86" s="28" t="inlineStr">
        <is>
          <t>Window_Status.MotorState</t>
        </is>
      </c>
      <c r="C86" s="28" t="n">
        <v>2</v>
      </c>
      <c r="D86" s="28" t="inlineStr">
        <is>
          <t>DRIVING_DOWN</t>
        </is>
      </c>
      <c r="E86" s="28" t="inlineStr">
        <is>
          <t>Motor driving downward</t>
        </is>
      </c>
      <c r="F86" s="28" t="inlineStr">
        <is>
          <t>state</t>
        </is>
      </c>
      <c r="G86" s="28" t="inlineStr">
        <is>
          <t>LIN Signal value</t>
        </is>
      </c>
      <c r="H86" s="28" t="inlineStr">
        <is>
          <t>Team Encoding</t>
        </is>
      </c>
      <c r="I86" s="28" t="inlineStr">
        <is>
          <t>팀 결정안</t>
        </is>
      </c>
    </row>
    <row r="87">
      <c r="A87" s="28" t="inlineStr">
        <is>
          <t>WINDOW_MOTOR_STATE</t>
        </is>
      </c>
      <c r="B87" s="28" t="inlineStr">
        <is>
          <t>Window_Status.MotorState</t>
        </is>
      </c>
      <c r="C87" s="28" t="n">
        <v>3</v>
      </c>
      <c r="D87" s="28" t="inlineStr">
        <is>
          <t>FAULT</t>
        </is>
      </c>
      <c r="E87" s="28" t="inlineStr">
        <is>
          <t>Window motor fault</t>
        </is>
      </c>
      <c r="F87" s="28" t="inlineStr">
        <is>
          <t>state</t>
        </is>
      </c>
      <c r="G87" s="28" t="inlineStr">
        <is>
          <t>LIN Signal value</t>
        </is>
      </c>
      <c r="H87" s="28" t="inlineStr">
        <is>
          <t>Team Encoding</t>
        </is>
      </c>
      <c r="I87" s="28" t="inlineStr">
        <is>
          <t>팀 결정안</t>
        </is>
      </c>
    </row>
    <row r="89">
      <c r="A89" s="29" t="inlineStr">
        <is>
          <t>Value Table 변경은 Jira Issue → 기준 산출물(02/05) 갱신 → 상대 담당자 리뷰 필요 → DBC/LDF → Firmware/PC Tool/Test → Evidence 순으로 반영합니다. Matrix는 참고용으로 필요 시 동기화합니다.</t>
        </is>
      </c>
    </row>
  </sheetData>
  <mergeCells count="4">
    <mergeCell ref="A1:I1"/>
    <mergeCell ref="A4:I4"/>
    <mergeCell ref="A2:I2"/>
    <mergeCell ref="A89:I89"/>
  </mergeCells>
  <conditionalFormatting sqref="I6:I85">
    <cfRule type="containsText" priority="1" operator="containsText" dxfId="4" text="TBD"/>
    <cfRule type="containsText" priority="2" operator="containsText" dxfId="0" text="리뷰"/>
    <cfRule type="containsText" priority="3" operator="containsText" dxfId="2" text="확정"/>
  </conditionalFormatting>
  <dataValidations count="1">
    <dataValidation sqref="I6:I85" showDropDown="0" showInputMessage="0" showErrorMessage="0" allowBlank="0" type="list">
      <formula1>"기준 문서 반영,기준 예시,확정,TBD/Open,초안"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CBD5E1"/>
    <outlinePr summaryBelow="1" summaryRight="1"/>
    <pageSetUpPr/>
  </sheetPr>
  <dimension ref="A1:O90"/>
  <sheetViews>
    <sheetView zoomScale="85" zoomScaleNormal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RowHeight="14"/>
  <cols>
    <col width="12" customWidth="1" min="1" max="1"/>
    <col width="25" customWidth="1" min="2" max="2"/>
    <col width="23" customWidth="1" min="3" max="3"/>
    <col width="34" customWidth="1" min="4" max="4"/>
    <col width="14" customWidth="1" min="5" max="5"/>
    <col width="22" customWidth="1" min="6" max="6"/>
    <col width="35" customWidth="1" min="7" max="8"/>
    <col width="31" customWidth="1" min="9" max="9"/>
    <col width="35" customWidth="1" min="10" max="10"/>
    <col width="31" customWidth="1" min="11" max="11"/>
    <col width="24" customWidth="1" min="12" max="12"/>
    <col width="25" customWidth="1" min="13" max="13"/>
    <col width="15" customWidth="1" min="14" max="14"/>
    <col width="23" customWidth="1" min="15" max="15"/>
  </cols>
  <sheetData>
    <row r="1" ht="27" customHeight="1">
      <c r="A1" s="21" t="inlineStr">
        <is>
          <t>Fault / Timeout Policy</t>
        </is>
      </c>
    </row>
    <row r="2" ht="34" customHeight="1">
      <c r="A2" s="22" t="inlineStr">
        <is>
          <t>Gateway는 System/Network Fault를 감지·관리·전파하고, 실제 안전 출력은 해당 ECU가 수행. VCU timeout 시 Motor가 local fail-safe를 직접 수행하며 Gateway 생존성에 종속되지 않음.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</row>
    <row r="4" ht="22" customHeight="1">
      <c r="A4" s="19" t="inlineStr">
        <is>
          <t>Detection, state, action and recovery policy</t>
        </is>
      </c>
    </row>
    <row r="5" ht="30" customHeight="1">
      <c r="A5" s="9" t="inlineStr">
        <is>
          <t>Policy ID</t>
        </is>
      </c>
      <c r="B5" s="9" t="inlineStr">
        <is>
          <t>Fault / Condition</t>
        </is>
      </c>
      <c r="C5" s="9" t="inlineStr">
        <is>
          <t>Source Interface</t>
        </is>
      </c>
      <c r="D5" s="9" t="inlineStr">
        <is>
          <t>Detection / Threshold</t>
        </is>
      </c>
      <c r="E5" s="9" t="inlineStr">
        <is>
          <t>Expected Period</t>
        </is>
      </c>
      <c r="F5" s="9" t="inlineStr">
        <is>
          <t>State</t>
        </is>
      </c>
      <c r="G5" s="9" t="inlineStr">
        <is>
          <t>Local ECU Action</t>
        </is>
      </c>
      <c r="H5" s="9" t="inlineStr">
        <is>
          <t>Gateway Action</t>
        </is>
      </c>
      <c r="I5" s="9" t="inlineStr">
        <is>
          <t>External Propagation</t>
        </is>
      </c>
      <c r="J5" s="9" t="inlineStr">
        <is>
          <t>Recovery Condition</t>
        </is>
      </c>
      <c r="K5" s="9" t="inlineStr">
        <is>
          <t>Recovery Count / Basis</t>
        </is>
      </c>
      <c r="L5" s="9" t="inlineStr">
        <is>
          <t>Related Requirement</t>
        </is>
      </c>
      <c r="M5" s="9" t="inlineStr">
        <is>
          <t>Source / Trace</t>
        </is>
      </c>
      <c r="N5" s="9" t="inlineStr">
        <is>
          <t>Status</t>
        </is>
      </c>
      <c r="O5" s="9" t="inlineStr">
        <is>
          <t>Review</t>
        </is>
      </c>
    </row>
    <row r="6" ht="50" customHeight="1">
      <c r="A6" s="20" t="inlineStr">
        <is>
          <t>POL-001</t>
        </is>
      </c>
      <c r="B6" s="20" t="inlineStr">
        <is>
          <t>VCU_TIMEOUT</t>
        </is>
      </c>
      <c r="C6" s="20" t="inlineStr">
        <is>
          <t>CAN / VCU_Command</t>
        </is>
      </c>
      <c r="D6" s="20" t="inlineStr">
        <is>
          <t>VCU_Command expected 10 ms; age &gt; 30 ms</t>
        </is>
      </c>
      <c r="E6" s="20" t="inlineStr">
        <is>
          <t>10 ms</t>
        </is>
      </c>
      <c r="F6" s="20" t="inlineStr">
        <is>
          <t>FAIL_SAFE</t>
        </is>
      </c>
      <c r="G6" s="20" t="inlineStr">
        <is>
          <t>Motor가 VCU_Command를 직접 감시하고 TorqueApplied=0, target_rpm=0, RPM decay 수행</t>
        </is>
      </c>
      <c r="H6" s="20" t="inlineStr">
        <is>
          <t>FaultManager가 VCU_TIMEOUT ACTIVE 기록, 대표 SystemState=FAIL_SAFE, Fault_Status Event 전송</t>
        </is>
      </c>
      <c r="I6" s="20" t="inlineStr">
        <is>
          <t>Cluster 대표 상태 + 주요 Fault 표시, PC Active Fault/History 기록</t>
        </is>
      </c>
      <c r="J6" s="20" t="inlineStr">
        <is>
          <t>정상 VCU_Command + Valid + Alive 연속 확인</t>
        </is>
      </c>
      <c r="K6" s="20" t="inlineStr">
        <is>
          <t>3 consecutive confirmations</t>
        </is>
      </c>
      <c r="L6" s="20" t="inlineStr">
        <is>
          <t>SYS_REQ_020, SYS_REQ_024, SYS_REQ_053, SYS_REQ_055</t>
        </is>
      </c>
      <c r="M6" s="20" t="inlineStr">
        <is>
          <t>HB §10.1; ARCH §3.D; D-07 §3.3/§5.1</t>
        </is>
      </c>
      <c r="N6" s="20" t="inlineStr">
        <is>
          <t>확정</t>
        </is>
      </c>
      <c r="O6" s="20" t="inlineStr">
        <is>
          <t>상대 담당자 리뷰 필요</t>
        </is>
      </c>
    </row>
    <row r="7" ht="37.5" customHeight="1">
      <c r="A7" s="20" t="inlineStr">
        <is>
          <t>POL-002</t>
        </is>
      </c>
      <c r="B7" s="20" t="inlineStr">
        <is>
          <t>DOOR_ECU_OFFLINE</t>
        </is>
      </c>
      <c r="C7" s="20" t="inlineStr">
        <is>
          <t>LIN / Door_Status</t>
        </is>
      </c>
      <c r="D7" s="20" t="inlineStr">
        <is>
          <t>Door_Status 100 ms; 3 cycle 연속 no response</t>
        </is>
      </c>
      <c r="E7" s="20" t="inlineStr">
        <is>
          <t>100 ms</t>
        </is>
      </c>
      <c r="F7" s="20" t="inlineStr">
        <is>
          <t>OFFLINE</t>
        </is>
      </c>
      <c r="G7" s="20" t="inlineStr">
        <is>
          <t>Door의 Local actuator 동작은 Door ECU 자체 책임. Gateway Fault에 의존한 강제 출력 없음</t>
        </is>
      </c>
      <c r="H7" s="20" t="inlineStr">
        <is>
          <t>Door 관련 Signal invalid 처리, Body_Status 반영, Fault_Status에 DOOR_ECU_OFFLINE ACTIVE 전송</t>
        </is>
      </c>
      <c r="I7" s="20" t="inlineStr">
        <is>
          <t>Cluster에 Door Offline/대표 상태 표시, PC Active Fault/History 기록</t>
        </is>
      </c>
      <c r="J7" s="20" t="inlineStr">
        <is>
          <t>정상 Door_Status Response + 정상 DoorAlive 연속 확인</t>
        </is>
      </c>
      <c r="K7" s="20" t="inlineStr">
        <is>
          <t>3 consecutive confirmations</t>
        </is>
      </c>
      <c r="L7" s="20" t="inlineStr">
        <is>
          <t>SYS_REQ_021, SYS_REQ_025-026, SYS_REQ_053</t>
        </is>
      </c>
      <c r="M7" s="20" t="inlineStr">
        <is>
          <t>HB §10.1; ARCH §3.D; D-07 §4.1/§5.1</t>
        </is>
      </c>
      <c r="N7" s="20" t="inlineStr">
        <is>
          <t>확정</t>
        </is>
      </c>
      <c r="O7" s="20" t="inlineStr">
        <is>
          <t>상대 담당자 리뷰 필요</t>
        </is>
      </c>
    </row>
    <row r="8" ht="37.5" customHeight="1">
      <c r="A8" s="20" t="inlineStr">
        <is>
          <t>POL-003</t>
        </is>
      </c>
      <c r="B8" s="20" t="inlineStr">
        <is>
          <t>ALIVE_ERROR</t>
        </is>
      </c>
      <c r="C8" s="20" t="inlineStr">
        <is>
          <t>CAN / LIN Alive-bearing message/frame</t>
        </is>
      </c>
      <c r="D8" s="20" t="inlineStr">
        <is>
          <t>AliveCounter 기대값 (prev+1) mod 16과 불일치</t>
        </is>
      </c>
      <c r="E8" s="20" t="inlineStr">
        <is>
          <t>Message-specific</t>
        </is>
      </c>
      <c r="F8" s="20" t="inlineStr">
        <is>
          <t>Critical: FAIL_SAFE / Non-critical: DEGRADED</t>
        </is>
      </c>
      <c r="G8" s="20" t="inlineStr">
        <is>
          <t>Critical 대상 ECU는 Local fail-safe 수행. Non-critical은 해당 Signal invalid/stale 처리</t>
        </is>
      </c>
      <c r="H8" s="20" t="inlineStr">
        <is>
          <t>Alive Fault ACTIVE 기록, 해당 입력 invalid 처리, Fault_Status Event + log 생성</t>
        </is>
      </c>
      <c r="I8" s="20" t="inlineStr">
        <is>
          <t>Cluster 대표 상태/주요 Fault 표시, PC 전체 Active Fault/History 기록</t>
        </is>
      </c>
      <c r="J8" s="20" t="inlineStr">
        <is>
          <t>정상 Alive sequence 연속 확인</t>
        </is>
      </c>
      <c r="K8" s="20" t="inlineStr">
        <is>
          <t>3 consecutive confirmations</t>
        </is>
      </c>
      <c r="L8" s="20" t="inlineStr">
        <is>
          <t>SYS_REQ_022-023, SYS_REQ_053, SYS_REQ_058</t>
        </is>
      </c>
      <c r="M8" s="20" t="inlineStr">
        <is>
          <t>HB §5.1; D-07 §4.3/§5.1 + Team Classification</t>
        </is>
      </c>
      <c r="N8" s="20" t="inlineStr">
        <is>
          <t>팀 결정안</t>
        </is>
      </c>
      <c r="O8" s="20" t="inlineStr">
        <is>
          <t>상대 담당자 리뷰 필요</t>
        </is>
      </c>
    </row>
    <row r="9" ht="50" customHeight="1">
      <c r="A9" s="20" t="inlineStr">
        <is>
          <t>POL-004</t>
        </is>
      </c>
      <c r="B9" s="20" t="inlineStr">
        <is>
          <t>QUEUE_DROP</t>
        </is>
      </c>
      <c r="C9" s="20" t="inlineStr">
        <is>
          <t>Gateway CAN RxQueue / EventQueue</t>
        </is>
      </c>
      <c r="D9" s="20" t="inlineStr">
        <is>
          <t>Queue full 또는 enqueue 실패/drop 발생</t>
        </is>
      </c>
      <c r="E9" s="20" t="inlineStr">
        <is>
          <t>Event</t>
        </is>
      </c>
      <c r="F9" s="20" t="inlineStr">
        <is>
          <t>DEGRADED</t>
        </is>
      </c>
      <c r="G9" s="20" t="inlineStr">
        <is>
          <t>ECU Local fail-safe 없음</t>
        </is>
      </c>
      <c r="H9" s="20" t="inlineStr">
        <is>
          <t>Queue Drop counter 증가, Gateway_Status.QueueUsage 갱신, Fault/log/KPI 기록, 대표 SystemState=DEGRADED</t>
        </is>
      </c>
      <c r="I9" s="20" t="inlineStr">
        <is>
          <t>Cluster 대표 SystemState 갱신, PC Gateway health/Queue/Fault log 기록</t>
        </is>
      </c>
      <c r="J9" s="20" t="inlineStr">
        <is>
          <t>Queue full 해소 + 추가 Drop 없음 + QueueUsage &lt; 80%</t>
        </is>
      </c>
      <c r="K9" s="20" t="inlineStr">
        <is>
          <t>3 consecutive HealthTask evaluations, drop counter 증가 없음</t>
        </is>
      </c>
      <c r="L9" s="20" t="inlineStr">
        <is>
          <t>SYS_REQ_050, SYS_REQ_052, SYS_REQ_054, SYS_REQ_056</t>
        </is>
      </c>
      <c r="M9" s="20" t="inlineStr">
        <is>
          <t>ARCH §3.D; D-07 §4.1/§5.1 + Team Recovery Rule</t>
        </is>
      </c>
      <c r="N9" s="20" t="inlineStr">
        <is>
          <t>팀 결정안</t>
        </is>
      </c>
      <c r="O9" s="20" t="inlineStr">
        <is>
          <t>상대 담당자 리뷰 필요</t>
        </is>
      </c>
    </row>
    <row r="10" ht="50" customHeight="1">
      <c r="A10" s="20" t="inlineStr">
        <is>
          <t>POL-005</t>
        </is>
      </c>
      <c r="B10" s="20" t="inlineStr">
        <is>
          <t>WINDOW_ECU_OFFLINE</t>
        </is>
      </c>
      <c r="C10" s="20" t="inlineStr">
        <is>
          <t>LIN / Window_Status</t>
        </is>
      </c>
      <c r="D10" s="20" t="inlineStr">
        <is>
          <t>Window_Status 100 ms; 2 cycle 연속 no response</t>
        </is>
      </c>
      <c r="E10" s="20" t="inlineStr">
        <is>
          <t>100 ms</t>
        </is>
      </c>
      <c r="F10" s="20" t="inlineStr">
        <is>
          <t>OFFLINE</t>
        </is>
      </c>
      <c r="G10" s="20" t="inlineStr">
        <is>
          <t>Gateway의 Window Offline 판정 자체가 Window Motor 출력을 직접 강제하지 않음. Window_Command Local Timeout에 따른 Motor STOP은 POL-009 / SYS_REQ_059에서 별도 관리</t>
        </is>
      </c>
      <c r="H10" s="20" t="inlineStr">
        <is>
          <t>Window 관련 Signal invalid 처리, Body_Status.WindowStatus=INVALID, Fault_Status에 WINDOW_ECU_OFFLINE ACTIVE 전송</t>
        </is>
      </c>
      <c r="I10" s="20" t="inlineStr">
        <is>
          <t>Cluster에 Window Offline/대표 상태 표시, PC Active Fault/History 기록</t>
        </is>
      </c>
      <c r="J10" s="20" t="inlineStr">
        <is>
          <t>정상 Window_Status Response + 정상 WindowAlive 연속 확인</t>
        </is>
      </c>
      <c r="K10" s="20" t="inlineStr">
        <is>
          <t>3 consecutive confirmations</t>
        </is>
      </c>
      <c r="L10" s="20" t="inlineStr">
        <is>
          <t>SYS_REQ_042-045, SYS_REQ_057</t>
        </is>
      </c>
      <c r="M10" s="20" t="inlineStr">
        <is>
          <t>ARCH §8.2-8.3/OPN-07/08 + Team Decision</t>
        </is>
      </c>
      <c r="N10" s="20" t="inlineStr">
        <is>
          <t>팀 결정안</t>
        </is>
      </c>
      <c r="O10" s="20" t="inlineStr">
        <is>
          <t>상대 담당자 리뷰 필요</t>
        </is>
      </c>
    </row>
    <row r="11" ht="37.5" customHeight="1">
      <c r="A11" s="20" t="inlineStr">
        <is>
          <t>POL-006</t>
        </is>
      </c>
      <c r="B11" s="20" t="inlineStr">
        <is>
          <t>REPRESENTATIVE_SYSTEM_STATE</t>
        </is>
      </c>
      <c r="C11" s="20" t="inlineStr">
        <is>
          <t>Gateway aggregate / Active Fault Table</t>
        </is>
      </c>
      <c r="D11" s="20" t="inlineStr">
        <is>
          <t>모든 Active Fault의 State를 독립 평가</t>
        </is>
      </c>
      <c r="E11" s="20" t="inlineStr">
        <is>
          <t>Event + cyclic status</t>
        </is>
      </c>
      <c r="F11" s="20" t="inlineStr">
        <is>
          <t>FAIL_SAFE &gt; OFFLINE &gt; DEGRADED &gt; NORMAL</t>
        </is>
      </c>
      <c r="G11" s="20" t="inlineStr">
        <is>
          <t>대표 SystemState 자체는 Local safety command가 아님</t>
        </is>
      </c>
      <c r="H11" s="20" t="inlineStr">
        <is>
          <t>가장 높은 Severity 계산, Vehicle_Status.NetworkState 및 Fault_Status.SystemState에 반영</t>
        </is>
      </c>
      <c r="I11" s="20" t="inlineStr">
        <is>
          <t>Cluster는 대표 SystemState + 주요 Fault, PC는 모든 Active Fault + History 표시</t>
        </is>
      </c>
      <c r="J11" s="20" t="inlineStr">
        <is>
          <t>모든 Active Fault가 각 Recovery 조건을 만족해 CLEARED</t>
        </is>
      </c>
      <c r="K11" s="20" t="inlineStr">
        <is>
          <t>각 Fault별 Recovery 정책 적용</t>
        </is>
      </c>
      <c r="L11" s="20" t="inlineStr">
        <is>
          <t>SYS_REQ_050-052, SYS_REQ_056</t>
        </is>
      </c>
      <c r="M11" s="20" t="inlineStr">
        <is>
          <t>ARCH §3.D, §7.2; D-07 §5.2</t>
        </is>
      </c>
      <c r="N11" s="20" t="inlineStr">
        <is>
          <t>확정</t>
        </is>
      </c>
      <c r="O11" s="20" t="inlineStr">
        <is>
          <t>상대 담당자 리뷰 필요</t>
        </is>
      </c>
    </row>
    <row r="12" ht="37.5" customHeight="1">
      <c r="A12" s="20" t="inlineStr">
        <is>
          <t>POL-007</t>
        </is>
      </c>
      <c r="B12" s="20" t="inlineStr">
        <is>
          <t>CRITICAL_DEADLINE</t>
        </is>
      </c>
      <c r="C12" s="20" t="inlineStr">
        <is>
          <t>Gateway timing path</t>
        </is>
      </c>
      <c r="D12" s="20" t="inlineStr">
        <is>
          <t>VCU 30 ms timeout은 100 ms HealthTask polling까지 대기할 수 없음</t>
        </is>
      </c>
      <c r="E12" s="20" t="inlineStr">
        <is>
          <t>VCU_Command 10 ms</t>
        </is>
      </c>
      <c r="F12" s="20" t="inlineStr">
        <is>
          <t>FAIL_SAFE</t>
        </is>
      </c>
      <c r="G12" s="20" t="inlineStr">
        <is>
          <t>Motor의 VCU timeout Local monitoring은 Gateway와 독립 수행</t>
        </is>
      </c>
      <c r="H12" s="20" t="inlineStr">
        <is>
          <t>Deadline/Event 기반 경로가 HealthTask/FaultManager를 즉시 Wake-up하고 실제 age 재확인</t>
        </is>
      </c>
      <c r="I12" s="20" t="inlineStr">
        <is>
          <t>Fault_Status Event를 Cluster/PC에 즉시 전송</t>
        </is>
      </c>
      <c r="J12" s="20" t="inlineStr">
        <is>
          <t>정상 VCU_Command + Valid + Alive 복구 정책 적용</t>
        </is>
      </c>
      <c r="K12" s="20" t="inlineStr">
        <is>
          <t>3 consecutive confirmations</t>
        </is>
      </c>
      <c r="L12" s="20" t="inlineStr">
        <is>
          <t>SYS_REQ_020, SYS_REQ_055</t>
        </is>
      </c>
      <c r="M12" s="20" t="inlineStr">
        <is>
          <t>D-07 §6.3; ARCH §3.D</t>
        </is>
      </c>
      <c r="N12" s="20" t="inlineStr">
        <is>
          <t>확정</t>
        </is>
      </c>
      <c r="O12" s="20" t="inlineStr">
        <is>
          <t>상대 담당자 리뷰 필요</t>
        </is>
      </c>
    </row>
    <row r="13" ht="37.5" customHeight="1">
      <c r="A13" s="20" t="inlineStr">
        <is>
          <t>POL-008</t>
        </is>
      </c>
      <c r="B13" s="20" t="inlineStr">
        <is>
          <t>FAULT_STATUS_EXTERNAL</t>
        </is>
      </c>
      <c r="C13" s="20" t="inlineStr">
        <is>
          <t>CAN / Fault_Status 0x310</t>
        </is>
      </c>
      <c r="D13" s="20" t="inlineStr">
        <is>
          <t>각 Fault의 ACTIVE ↔ CLEARED 전이 시 Event 생성</t>
        </is>
      </c>
      <c r="E13" s="20" t="inlineStr">
        <is>
          <t>Event</t>
        </is>
      </c>
      <c r="F13" s="20" t="inlineStr">
        <is>
          <t>RecoveryState = ACTIVE / CLEARED</t>
        </is>
      </c>
      <c r="G13" s="20" t="inlineStr">
        <is>
          <t>N/A</t>
        </is>
      </c>
      <c r="H13" s="20" t="inlineStr">
        <is>
          <t>FaultCode + ECUOffline(Source Node) + RecoveryState + SystemState를 0x310 Event로 전송. 한 Event에는 한 Fault 전이만 표현</t>
        </is>
      </c>
      <c r="I13" s="20" t="inlineStr">
        <is>
          <t>Cluster/PC가 Event를 수신해 Active Fault Table 갱신. Cluster는 대표 상태/주요 Fault, PC는 전체 Fault 및 History 유지</t>
        </is>
      </c>
      <c r="J13" s="20" t="inlineStr">
        <is>
          <t>각 Fault별 Recovery 정책 사용</t>
        </is>
      </c>
      <c r="K13" s="20" t="inlineStr">
        <is>
          <t>Global recovery count 없음; 해당 Fault Policy의 기준 사용</t>
        </is>
      </c>
      <c r="L13" s="20" t="inlineStr">
        <is>
          <t>SYS_REQ_018, SYS_REQ_025-026, SYS_REQ_058</t>
        </is>
      </c>
      <c r="M13" s="20" t="inlineStr">
        <is>
          <t>ARCH §8.1-8.4; D-07 §7 + Team Encoding</t>
        </is>
      </c>
      <c r="N13" s="20" t="inlineStr">
        <is>
          <t>팀 결정안</t>
        </is>
      </c>
      <c r="O13" s="20" t="inlineStr">
        <is>
          <t>상대 담당자 리뷰 필요</t>
        </is>
      </c>
    </row>
    <row r="14" ht="37.5" customHeight="1">
      <c r="A14" s="20" t="inlineStr">
        <is>
          <t>POL-009</t>
        </is>
      </c>
      <c r="B14" s="20" t="inlineStr">
        <is>
          <t>WINDOW_COMMAND_TIMEOUT</t>
        </is>
      </c>
      <c r="C14" s="20" t="inlineStr">
        <is>
          <t>LIN / Window_Command</t>
        </is>
      </c>
      <c r="D14" s="20" t="inlineStr">
        <is>
          <t>유효 Window_Command 미수신을 Window ECU가 자체 감시. Local Command Timeout의 정량값은 하위 Window SW 상세 요구사항에서 정의</t>
        </is>
      </c>
      <c r="E14" s="20" t="inlineStr">
        <is>
          <t>Window_Command 100 ms</t>
        </is>
      </c>
      <c r="F14" s="20" t="inlineStr">
        <is>
          <t>Local safe stop (별도 SystemState mapping 없음)</t>
        </is>
      </c>
      <c r="G14" s="20" t="inlineStr">
        <is>
          <t>Window ECU가 Gateway의 별도 Fail-safe 명령을 기다리지 않고 Window Motor를 STOP 상태로 전환</t>
        </is>
      </c>
      <c r="H14" s="20" t="inlineStr">
        <is>
          <t>없음 — Gateway는 본 Local timeout의 판정 주체가 아님. Window_Status Offline/Alive 정책은 POL-005/POL-003에서 독립 감시</t>
        </is>
      </c>
      <c r="I14" s="20" t="inlineStr">
        <is>
          <t>본 정책 자체의 별도 Fault_Status Event 요구 없음. 독립적인 Offline/Alive Fault가 발생하면 해당 정책에 따라 전파</t>
        </is>
      </c>
      <c r="J14" s="20" t="inlineStr">
        <is>
          <t>유효 Window_Command 수신 복귀 후 실제 재구동은 다음 유효 명령과 Limit 조건을 만족할 때 수행</t>
        </is>
      </c>
      <c r="K14" s="20" t="inlineStr">
        <is>
          <t>System-level recovery count 없음; 상세 재개 조건/timeout parameter는 Window SW 하위 요구사항에서 추적</t>
        </is>
      </c>
      <c r="L14" s="20" t="inlineStr">
        <is>
          <t>SYS_REQ_059</t>
        </is>
      </c>
      <c r="M14" s="20" t="inlineStr">
        <is>
          <t>Message Definition v0.4 Team Decision / SYS_REQ_059</t>
        </is>
      </c>
      <c r="N14" s="20" t="inlineStr">
        <is>
          <t>팀 결정안</t>
        </is>
      </c>
      <c r="O14" s="20" t="inlineStr">
        <is>
          <t>Window 담당 + Gateway/LIN Common 리뷰 필요</t>
        </is>
      </c>
    </row>
    <row r="15" ht="22" customHeight="1">
      <c r="A15" s="23" t="inlineStr">
        <is>
          <t>Representative System State mapping</t>
        </is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</row>
    <row r="16" ht="30" customHeight="1">
      <c r="A16" s="9" t="inlineStr">
        <is>
          <t>State</t>
        </is>
      </c>
      <c r="B16" s="9" t="inlineStr">
        <is>
          <t>Meaning</t>
        </is>
      </c>
      <c r="C16" s="9" t="inlineStr">
        <is>
          <t>Representative example</t>
        </is>
      </c>
      <c r="D16" s="9" t="inlineStr">
        <is>
          <t>Cluster view</t>
        </is>
      </c>
      <c r="E16" s="9" t="inlineStr">
        <is>
          <t>PC Diagnostic Tool view</t>
        </is>
      </c>
      <c r="F16" s="9" t="inlineStr">
        <is>
          <t>Source</t>
        </is>
      </c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</row>
    <row r="17">
      <c r="A17" s="20" t="inlineStr">
        <is>
          <t>NORMAL</t>
        </is>
      </c>
      <c r="B17" s="20" t="inlineStr">
        <is>
          <t>All age/alive values normal</t>
        </is>
      </c>
      <c r="C17" s="20" t="inlineStr">
        <is>
          <t>Normal communication</t>
        </is>
      </c>
      <c r="D17" s="20" t="inlineStr">
        <is>
          <t>Normal</t>
        </is>
      </c>
      <c r="E17" s="20" t="inlineStr">
        <is>
          <t>No Active Fault</t>
        </is>
      </c>
      <c r="F17" s="20" t="inlineStr">
        <is>
          <t>D-07 §4.2/7.1</t>
        </is>
      </c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</row>
    <row r="18" ht="25" customHeight="1">
      <c r="A18" s="20" t="inlineStr">
        <is>
          <t>DEGRADED</t>
        </is>
      </c>
      <c r="B18" s="20" t="inlineStr">
        <is>
          <t>Anomaly exists but immediate safety output is not requested</t>
        </is>
      </c>
      <c r="C18" s="20" t="inlineStr">
        <is>
          <t>QUEUE_DROP, non-critical ALIVE_ERROR</t>
        </is>
      </c>
      <c r="D18" s="20" t="inlineStr">
        <is>
          <t>Representative state + important fault</t>
        </is>
      </c>
      <c r="E18" s="20" t="inlineStr">
        <is>
          <t>All Active Fault + detail log</t>
        </is>
      </c>
      <c r="F18" s="20" t="inlineStr">
        <is>
          <t>D-07 §4.2/7.1</t>
        </is>
      </c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</row>
    <row r="19" ht="25" customHeight="1">
      <c r="A19" s="20" t="inlineStr">
        <is>
          <t>FAIL_SAFE</t>
        </is>
      </c>
      <c r="B19" s="20" t="inlineStr">
        <is>
          <t>Affected ECU safety action required</t>
        </is>
      </c>
      <c r="C19" s="20" t="inlineStr">
        <is>
          <t>VCU_TIMEOUT, critical fault</t>
        </is>
      </c>
      <c r="D19" s="20" t="inlineStr">
        <is>
          <t>Representative state + important fault</t>
        </is>
      </c>
      <c r="E19" s="20" t="inlineStr">
        <is>
          <t>All Active Fault + detail log</t>
        </is>
      </c>
      <c r="F19" s="20" t="inlineStr">
        <is>
          <t>D-07 §4.2/7.1</t>
        </is>
      </c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</row>
    <row r="20" ht="25" customHeight="1">
      <c r="A20" s="20" t="inlineStr">
        <is>
          <t>OFFLINE</t>
        </is>
      </c>
      <c r="B20" s="20" t="inlineStr">
        <is>
          <t>ECU/Node communication is effectively lost</t>
        </is>
      </c>
      <c r="C20" s="20" t="inlineStr">
        <is>
          <t>Door 3-cycle / Window 2-cycle no response</t>
        </is>
      </c>
      <c r="D20" s="20" t="inlineStr">
        <is>
          <t>Representative state + important fault</t>
        </is>
      </c>
      <c r="E20" s="20" t="inlineStr">
        <is>
          <t>All Active Fault + detail log</t>
        </is>
      </c>
      <c r="F20" s="20" t="inlineStr">
        <is>
          <t>D-07 §4.2/7.1</t>
        </is>
      </c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</row>
    <row r="22" ht="36" customHeight="1">
      <c r="A22" s="18" t="inlineStr">
        <is>
          <t>책임 경계: Gateway는 Timeout/Alive/Offline/Queue 같은 System Health와 Fault State를 관리하고 외부에 전파합니다. Motor/문제 ECU는 실제 안전 출력과 Local Fail-safe를 수행합니다. Fault 감지 후 Cluster/PC 외부 전파가 누락된 구현은 완료로 판단하지 않습니다.</t>
        </is>
      </c>
    </row>
    <row r="23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</row>
    <row r="24">
      <c r="A24" s="23" t="inlineStr">
        <is>
          <t>ALIVE_ERROR Criticality Classification (Team Decision)</t>
        </is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</row>
    <row r="25">
      <c r="A25" s="9" t="inlineStr">
        <is>
          <t>Interface / Frame</t>
        </is>
      </c>
      <c r="B25" s="9" t="inlineStr">
        <is>
          <t>Classification</t>
        </is>
      </c>
      <c r="C25" s="9" t="inlineStr">
        <is>
          <t>State on ALIVE_ERROR</t>
        </is>
      </c>
      <c r="D25" s="9" t="inlineStr">
        <is>
          <t>Basis</t>
        </is>
      </c>
      <c r="E25" s="9" t="inlineStr">
        <is>
          <t>Status</t>
        </is>
      </c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</row>
    <row r="26">
      <c r="A26" s="20" t="inlineStr">
        <is>
          <t>VCU_Command</t>
        </is>
      </c>
      <c r="B26" s="20" t="inlineStr">
        <is>
          <t>Critical</t>
        </is>
      </c>
      <c r="C26" s="20" t="inlineStr">
        <is>
          <t>FAIL_SAFE</t>
        </is>
      </c>
      <c r="D26" s="20" t="inlineStr">
        <is>
          <t>제어 안전 명령(Torque/Gear/Brake) 직접 포함</t>
        </is>
      </c>
      <c r="E26" s="20" t="inlineStr">
        <is>
          <t>팀 결정안</t>
        </is>
      </c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</row>
    <row r="27">
      <c r="A27" s="20" t="inlineStr">
        <is>
          <t>Motor_Status</t>
        </is>
      </c>
      <c r="B27" s="20" t="inlineStr">
        <is>
          <t>Non-critical</t>
        </is>
      </c>
      <c r="C27" s="20" t="inlineStr">
        <is>
          <t>DEGRADED</t>
        </is>
      </c>
      <c r="D27" s="20" t="inlineStr">
        <is>
          <t>상태/모니터링 Frame; VCU timeout fail-safe는 Motor가 별도 수행</t>
        </is>
      </c>
      <c r="E27" s="20" t="inlineStr">
        <is>
          <t>팀 결정안</t>
        </is>
      </c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</row>
    <row r="28">
      <c r="A28" s="20" t="inlineStr">
        <is>
          <t>Door_Status</t>
        </is>
      </c>
      <c r="B28" s="20" t="inlineStr">
        <is>
          <t>Non-critical</t>
        </is>
      </c>
      <c r="C28" s="20" t="inlineStr">
        <is>
          <t>DEGRADED</t>
        </is>
      </c>
      <c r="D28" s="20" t="inlineStr">
        <is>
          <t>Body 상태 Frame; no-response Offline 정책 별도</t>
        </is>
      </c>
      <c r="E28" s="20" t="inlineStr">
        <is>
          <t>팀 결정안</t>
        </is>
      </c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</row>
    <row r="29">
      <c r="A29" s="20" t="inlineStr">
        <is>
          <t>Light_Status</t>
        </is>
      </c>
      <c r="B29" s="20" t="inlineStr">
        <is>
          <t>Non-critical</t>
        </is>
      </c>
      <c r="C29" s="20" t="inlineStr">
        <is>
          <t>DEGRADED</t>
        </is>
      </c>
      <c r="D29" s="20" t="inlineStr">
        <is>
          <t>Body 상태/진단 Frame</t>
        </is>
      </c>
      <c r="E29" s="20" t="inlineStr">
        <is>
          <t>팀 결정안</t>
        </is>
      </c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</row>
    <row r="30">
      <c r="A30" s="20" t="inlineStr">
        <is>
          <t>Window_Status</t>
        </is>
      </c>
      <c r="B30" s="20" t="inlineStr">
        <is>
          <t>Non-critical</t>
        </is>
      </c>
      <c r="C30" s="20" t="inlineStr">
        <is>
          <t>DEGRADED</t>
        </is>
      </c>
      <c r="D30" s="20" t="inlineStr">
        <is>
          <t>Body 상태 Frame; no-response Offline 정책 별도</t>
        </is>
      </c>
      <c r="E30" s="20" t="inlineStr">
        <is>
          <t>팀 결정안</t>
        </is>
      </c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</row>
    <row r="31">
      <c r="A31" s="20" t="inlineStr">
        <is>
          <t>Gateway_Status</t>
        </is>
      </c>
      <c r="B31" s="20" t="inlineStr">
        <is>
          <t>Non-critical</t>
        </is>
      </c>
      <c r="C31" s="20" t="inlineStr">
        <is>
          <t>DEGRADED</t>
        </is>
      </c>
      <c r="D31" s="20" t="inlineStr">
        <is>
          <t>Gateway health 상태 Frame</t>
        </is>
      </c>
      <c r="E31" s="20" t="inlineStr">
        <is>
          <t>팀 결정안</t>
        </is>
      </c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</row>
  </sheetData>
  <mergeCells count="6">
    <mergeCell ref="A15:O15"/>
    <mergeCell ref="A24:O24"/>
    <mergeCell ref="A2:O2"/>
    <mergeCell ref="A1:O1"/>
    <mergeCell ref="A4:O4"/>
    <mergeCell ref="A22:O23"/>
  </mergeCells>
  <conditionalFormatting sqref="N6:N13">
    <cfRule type="containsText" priority="1" operator="containsText" dxfId="4" text="TBD"/>
    <cfRule type="containsText" priority="2" operator="containsText" dxfId="0" text="리뷰"/>
    <cfRule type="containsText" priority="3" operator="containsText" dxfId="2" text="확정"/>
  </conditionalFormatting>
  <conditionalFormatting sqref="O6:O13">
    <cfRule type="containsText" priority="4" operator="containsText" dxfId="0" text="리뷰"/>
  </conditionalFormatting>
  <dataValidations count="2">
    <dataValidation sqref="N6:N13" showDropDown="0" showInputMessage="0" showErrorMessage="0" allowBlank="0" type="list">
      <formula1>"기준 문서 반영,기준 예시,확정,TBD/Open,초안"</formula1>
    </dataValidation>
    <dataValidation sqref="O6:O13" showDropDown="0" showInputMessage="0" showErrorMessage="0" allowBlank="0" type="list">
      <formula1>"없음,담당자 확인,상대 담당자 리뷰 필요"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FFCBD5E1"/>
    <outlinePr summaryBelow="1" summaryRight="1"/>
    <pageSetUpPr/>
  </sheetPr>
  <dimension ref="A1:H81"/>
  <sheetViews>
    <sheetView workbookViewId="0">
      <pane ySplit="5" topLeftCell="A19" activePane="bottomLeft" state="frozen"/>
      <selection pane="bottomLeft" activeCell="A1" sqref="A1:H1"/>
    </sheetView>
  </sheetViews>
  <sheetFormatPr baseColWidth="8" defaultRowHeight="14"/>
  <cols>
    <col width="14" customWidth="1" min="1" max="1"/>
    <col width="16" customWidth="1" min="2" max="2"/>
    <col width="45" customWidth="1" min="3" max="3"/>
    <col width="34" customWidth="1" min="4" max="4"/>
    <col width="16" customWidth="1" min="5" max="6"/>
    <col width="23" customWidth="1" min="7" max="7"/>
    <col width="42" customWidth="1" min="8" max="8"/>
  </cols>
  <sheetData>
    <row r="1" ht="27" customHeight="1">
      <c r="A1" s="21" t="inlineStr">
        <is>
          <t>Revision History</t>
        </is>
      </c>
    </row>
    <row r="2" ht="34" customHeight="1">
      <c r="A2" s="22" t="inlineStr">
        <is>
          <t>문서 개정 이력과 기준 입력자료를 관리. Merge는 Done과 동일하지 않으며 02/05 Baseline, DBC/LDF, code, test, evidence, review trace가 필요합니다. CAN/LIN Matrix는 참고용입니다.</t>
        </is>
      </c>
      <c r="B2" s="31" t="n"/>
      <c r="C2" s="31" t="n"/>
      <c r="D2" s="31" t="n"/>
      <c r="E2" s="31" t="n"/>
      <c r="F2" s="31" t="n"/>
      <c r="G2" s="31" t="n"/>
      <c r="H2" s="31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</row>
    <row r="4" ht="22" customHeight="1">
      <c r="A4" s="19" t="inlineStr">
        <is>
          <t>Document revision history</t>
        </is>
      </c>
    </row>
    <row r="5">
      <c r="A5" s="9" t="inlineStr">
        <is>
          <t>Version</t>
        </is>
      </c>
      <c r="B5" s="9" t="inlineStr">
        <is>
          <t>Date</t>
        </is>
      </c>
      <c r="C5" s="9" t="inlineStr">
        <is>
          <t>Change</t>
        </is>
      </c>
      <c r="D5" s="9" t="inlineStr">
        <is>
          <t>Basis / Source</t>
        </is>
      </c>
      <c r="E5" s="9" t="inlineStr">
        <is>
          <t>Owner</t>
        </is>
      </c>
      <c r="F5" s="9" t="inlineStr">
        <is>
          <t>Status</t>
        </is>
      </c>
      <c r="G5" s="9" t="inlineStr">
        <is>
          <t>Review</t>
        </is>
      </c>
      <c r="H5" s="9" t="inlineStr">
        <is>
          <t>Notes</t>
        </is>
      </c>
    </row>
    <row r="6" ht="25" customHeight="1">
      <c r="A6" s="20" t="inlineStr">
        <is>
          <t>0.1</t>
        </is>
      </c>
      <c r="B6" s="33" t="n">
        <v>46285</v>
      </c>
      <c r="C6" s="20" t="inlineStr">
        <is>
          <t>Message definition workbook initial template created with summary, CAN/LIN detail, value, fault and revision sheets</t>
        </is>
      </c>
      <c r="D6" s="20" t="inlineStr">
        <is>
          <t>User request / prior planning conversation</t>
        </is>
      </c>
      <c r="E6" s="20" t="inlineStr">
        <is>
          <t>Project</t>
        </is>
      </c>
      <c r="F6" s="20" t="inlineStr">
        <is>
          <t>초안</t>
        </is>
      </c>
      <c r="G6" s="20" t="inlineStr">
        <is>
          <t>상대 담당자 리뷰 필요</t>
        </is>
      </c>
      <c r="H6" s="20" t="inlineStr">
        <is>
          <t>Matrix/DBC/LDF not present in sources/</t>
        </is>
      </c>
    </row>
    <row r="7" ht="25" customHeight="1">
      <c r="A7" s="20" t="inlineStr">
        <is>
          <t>Ref-HB v1.0</t>
        </is>
      </c>
      <c r="B7" s="33" t="n">
        <v>46267</v>
      </c>
      <c r="C7" s="20" t="inlineStr">
        <is>
          <t>CAN 500 kbps, LIN 19.2 kbps, reference CAN messages, LIN frames/schedule, signal field rules</t>
        </is>
      </c>
      <c r="D7" s="20" t="inlineStr">
        <is>
          <t>freertos_can_lin_gateway_handbook_ko.pdf §5-6</t>
        </is>
      </c>
      <c r="E7" s="20" t="inlineStr">
        <is>
          <t>Reference</t>
        </is>
      </c>
      <c r="F7" s="20" t="inlineStr">
        <is>
          <t>확정</t>
        </is>
      </c>
      <c r="G7" s="20" t="inlineStr">
        <is>
          <t>없음</t>
        </is>
      </c>
      <c r="H7" s="20" t="inlineStr">
        <is>
          <t>Baseline guidance</t>
        </is>
      </c>
    </row>
    <row r="8" ht="25" customHeight="1">
      <c r="A8" s="20" t="inlineStr">
        <is>
          <t>Ref-ARCH v1.0</t>
        </is>
      </c>
      <c r="B8" s="33" t="n">
        <v>46278</v>
      </c>
      <c r="C8" s="20" t="inlineStr">
        <is>
          <t>Window ECU in-scope LIN slave, interface impact matrix, system requirements and review gates</t>
        </is>
      </c>
      <c r="D8" s="20" t="inlineStr">
        <is>
          <t>시스템 아키텍처 사양서.pdf §1-3, §7-8</t>
        </is>
      </c>
      <c r="E8" s="20" t="inlineStr">
        <is>
          <t>Reference</t>
        </is>
      </c>
      <c r="F8" s="20" t="inlineStr">
        <is>
          <t>확정</t>
        </is>
      </c>
      <c r="G8" s="20" t="inlineStr">
        <is>
          <t>없음</t>
        </is>
      </c>
      <c r="H8" s="20" t="inlineStr">
        <is>
          <t>Latest system architecture baseline</t>
        </is>
      </c>
    </row>
    <row r="9" ht="25" customHeight="1">
      <c r="A9" s="20" t="inlineStr">
        <is>
          <t>Ref-D07 v0.9</t>
        </is>
      </c>
      <c r="B9" s="33" t="n">
        <v>46277</v>
      </c>
      <c r="C9" s="20" t="inlineStr">
        <is>
          <t>Fault state mapping, VCU timeout, local fail-safe, recovery and external propagation policy</t>
        </is>
      </c>
      <c r="D9" s="20" t="inlineStr">
        <is>
          <t>CAN-LIN_D07_Fault_Failsafe_설계보고서_v0.9_진행중.pdf §1-7</t>
        </is>
      </c>
      <c r="E9" s="20" t="inlineStr">
        <is>
          <t>Reference</t>
        </is>
      </c>
      <c r="F9" s="20" t="inlineStr">
        <is>
          <t>진행중</t>
        </is>
      </c>
      <c r="G9" s="20" t="inlineStr">
        <is>
          <t>상대 담당자 리뷰 필요</t>
        </is>
      </c>
      <c r="H9" s="20" t="inlineStr">
        <is>
          <t>Use with Handbook and Architecture baseline</t>
        </is>
      </c>
    </row>
    <row r="10" ht="25" customHeight="1">
      <c r="A10" s="20" t="n">
        <v>0.2</v>
      </c>
      <c r="B10" s="33" t="n">
        <v>46293</v>
      </c>
      <c r="C10" s="20" t="inlineStr">
        <is>
          <t>Fault_Timeout_Policy POL-001~008 최신화 및 대표 OFFLINE 예시 정합화</t>
        </is>
      </c>
      <c r="D10" s="20" t="inlineStr">
        <is>
          <t>사용자 제공 최신 정책안; HB / ARCH / D-07 / Team Decision</t>
        </is>
      </c>
      <c r="E10" s="20" t="inlineStr">
        <is>
          <t>Junho Park</t>
        </is>
      </c>
      <c r="F10" s="20" t="inlineStr">
        <is>
          <t>진행중</t>
        </is>
      </c>
      <c r="G10" s="20" t="inlineStr">
        <is>
          <t>상대 담당자 리뷰 필요</t>
        </is>
      </c>
      <c r="H10" s="20" t="inlineStr">
        <is>
          <t>POL-003/004/005/008 팀 결정안 반영; POL-001/002/006/007 확정 유지</t>
        </is>
      </c>
    </row>
    <row r="11">
      <c r="A11" s="20" t="n">
        <v>0.3</v>
      </c>
      <c r="B11" s="33" t="n">
        <v>46293</v>
      </c>
      <c r="C11" s="20" t="inlineStr">
        <is>
          <t>Cross-sheet consistency cleanup: LIN 10 ms schedule, Window PID/length, Value Table/FaultCode, review gate, source register sync</t>
        </is>
      </c>
      <c r="D11" s="20" t="inlineStr">
        <is>
          <t>Message definition review; HB / ARCH / D-07 / Team Encoding</t>
        </is>
      </c>
      <c r="E11" s="20" t="inlineStr">
        <is>
          <t>Junho Park</t>
        </is>
      </c>
      <c r="F11" s="20" t="inlineStr">
        <is>
          <t>진행중</t>
        </is>
      </c>
      <c r="G11" s="20" t="inlineStr">
        <is>
          <t>상대 담당자 리뷰 필요</t>
        </is>
      </c>
      <c r="H11" s="20" t="inlineStr">
        <is>
          <t>메시지 정의서 내부 정합성 수정 완료. 외부 LIN_Matrix/Schedule/LDF 동기화 필요</t>
        </is>
      </c>
    </row>
    <row r="12" ht="22" customHeight="1">
      <c r="A12" s="20" t="n">
        <v>0.4</v>
      </c>
      <c r="B12" s="33" t="n">
        <v>46295</v>
      </c>
      <c r="C12" s="20" t="inlineStr">
        <is>
          <t>Matrix reference-only 정책 정리 + Window_Command Local Timeout을 POL-009로 분리하고 SYS_REQ_059 Requirement Trace 연결</t>
        </is>
      </c>
      <c r="D12" s="20" t="inlineStr">
        <is>
          <t>User decision; 05 Requirements v0.5; POL-009 Team Decision</t>
        </is>
      </c>
      <c r="E12" s="20" t="inlineStr">
        <is>
          <t>Junho Park</t>
        </is>
      </c>
      <c r="F12" s="20" t="inlineStr">
        <is>
          <t>FIX</t>
        </is>
      </c>
      <c r="G12" s="20" t="inlineStr">
        <is>
          <t>상대 담당자 리뷰 필요</t>
        </is>
      </c>
      <c r="H12" s="20" t="inlineStr">
        <is>
          <t>POL-005 Window Offline과 POL-009 Window local command freshness를 분리. Timeout 정량값은 하위 Window SW 요구사항에 위임.</t>
        </is>
      </c>
    </row>
    <row r="13" ht="30" customHeight="1">
      <c r="A13" s="19" t="inlineStr">
        <is>
          <t>Source and input register</t>
        </is>
      </c>
    </row>
    <row r="14" ht="44" customHeight="1">
      <c r="A14" s="9" t="inlineStr">
        <is>
          <t>Source ID</t>
        </is>
      </c>
      <c r="B14" s="9" t="inlineStr">
        <is>
          <t>File</t>
        </is>
      </c>
      <c r="C14" s="9" t="inlineStr">
        <is>
          <t>Section / Page</t>
        </is>
      </c>
      <c r="D14" s="9" t="inlineStr">
        <is>
          <t>Used for</t>
        </is>
      </c>
      <c r="E14" s="9" t="inlineStr">
        <is>
          <t>Availability</t>
        </is>
      </c>
      <c r="F14" s="9" t="inlineStr">
        <is>
          <t>Integration action</t>
        </is>
      </c>
      <c r="G14" s="9" t="inlineStr">
        <is>
          <t>Review</t>
        </is>
      </c>
      <c r="H14" s="9" t="inlineStr">
        <is>
          <t>Notes</t>
        </is>
      </c>
    </row>
    <row r="15" ht="44" customHeight="1">
      <c r="A15" s="20" t="inlineStr">
        <is>
          <t>SRC-HB</t>
        </is>
      </c>
      <c r="B15" s="20" t="inlineStr">
        <is>
          <t>freertos_can_lin_gateway_handbook_ko.pdf</t>
        </is>
      </c>
      <c r="C15" s="20" t="inlineStr">
        <is>
          <t>§5 pp.14-16; §6 pp.18-19; §10</t>
        </is>
      </c>
      <c r="D15" s="20" t="inlineStr">
        <is>
          <t>CAN/LIN baseline, field rules, schedule, fault threshold</t>
        </is>
      </c>
      <c r="E15" s="20" t="inlineStr">
        <is>
          <t>Available</t>
        </is>
      </c>
      <c r="F15" s="20" t="inlineStr">
        <is>
          <t>Use as project standard/reference input; 02/05 fixed baseline remains authoritative for this workbook</t>
        </is>
      </c>
      <c r="G15" s="20" t="inlineStr">
        <is>
          <t>없음</t>
        </is>
      </c>
      <c r="H15" s="20" t="inlineStr">
        <is>
          <t>Reference input. Matrix는 별도 참고용이며 Baseline 우선순위를 갖지 않음</t>
        </is>
      </c>
    </row>
    <row r="16" ht="44" customHeight="1">
      <c r="A16" s="20" t="inlineStr">
        <is>
          <t>SRC-ARCH</t>
        </is>
      </c>
      <c r="B16" s="20" t="inlineStr">
        <is>
          <t>시스템 아키텍처 사양서.pdf</t>
        </is>
      </c>
      <c r="C16" s="20" t="inlineStr">
        <is>
          <t>§1-3 pp.5-8; §7-8 pp.15-16</t>
        </is>
      </c>
      <c r="D16" s="20" t="inlineStr">
        <is>
          <t>Latest nodes, Window scope, requirements, interface impact</t>
        </is>
      </c>
      <c r="E16" s="20" t="inlineStr">
        <is>
          <t>Available</t>
        </is>
      </c>
      <c r="F16" s="20" t="inlineStr">
        <is>
          <t>Treat v1.0 Final Baseline as current architecture</t>
        </is>
      </c>
      <c r="G16" s="20" t="inlineStr">
        <is>
          <t>없음</t>
        </is>
      </c>
      <c r="H16" s="20" t="inlineStr">
        <is>
          <t>Critical/non-critical Alive classification resolved by team decision; source document update pending</t>
        </is>
      </c>
    </row>
    <row r="17" ht="44" customHeight="1">
      <c r="A17" s="20" t="inlineStr">
        <is>
          <t>SRC-D07</t>
        </is>
      </c>
      <c r="B17" s="20" t="inlineStr">
        <is>
          <t>CAN-LIN_D07_Fault_Failsafe_설계보고서_v0.9_진행중.pdf</t>
        </is>
      </c>
      <c r="C17" s="20" t="inlineStr">
        <is>
          <t>§1-7 pp.2-10</t>
        </is>
      </c>
      <c r="D17" s="20" t="inlineStr">
        <is>
          <t>Fault state, timeout, recovery, external propagation</t>
        </is>
      </c>
      <c r="E17" s="20" t="inlineStr">
        <is>
          <t>Available</t>
        </is>
      </c>
      <c r="F17" s="20" t="inlineStr">
        <is>
          <t>Use for policy rows and recovery basis</t>
        </is>
      </c>
      <c r="G17" s="20" t="inlineStr">
        <is>
          <t>상대 담당자 리뷰 필요</t>
        </is>
      </c>
      <c r="H17" s="20" t="inlineStr">
        <is>
          <t>Source 문서의 Critical/non-critical 목록은 Open이지만 본 Workbook에서 Team classification 제안 반영; 리뷰 필요</t>
        </is>
      </c>
    </row>
    <row r="18" ht="44" customHeight="1">
      <c r="A18" s="20" t="inlineStr">
        <is>
          <t>SRC-CANM</t>
        </is>
      </c>
      <c r="B18" s="20" t="inlineStr">
        <is>
          <t>CAN_Matrix.xlsx</t>
        </is>
      </c>
      <c r="C18" s="20" t="inlineStr">
        <is>
          <t>Reference only</t>
        </is>
      </c>
      <c r="D18" s="20" t="inlineStr">
        <is>
          <t>Reference CAN mapping aid</t>
        </is>
      </c>
      <c r="E18" s="20" t="inlineStr">
        <is>
          <t>Available</t>
        </is>
      </c>
      <c r="F18" s="20" t="inlineStr">
        <is>
          <t>Cross-check only; do not override 02/05 FIX</t>
        </is>
      </c>
      <c r="G18" s="20" t="inlineStr">
        <is>
          <t>필수 아님</t>
        </is>
      </c>
      <c r="H18" s="20" t="inlineStr">
        <is>
          <t>Reference-only artifact</t>
        </is>
      </c>
    </row>
    <row r="19" ht="44" customHeight="1">
      <c r="A19" s="20" t="inlineStr">
        <is>
          <t>SRC-LINM</t>
        </is>
      </c>
      <c r="B19" s="20" t="inlineStr">
        <is>
          <t>LIN_Matrix.xlsx</t>
        </is>
      </c>
      <c r="C19" s="20" t="inlineStr">
        <is>
          <t>Reference only</t>
        </is>
      </c>
      <c r="D19" s="20" t="inlineStr">
        <is>
          <t>Reference LIN mapping/schedule aid</t>
        </is>
      </c>
      <c r="E19" s="20" t="inlineStr">
        <is>
          <t>Available</t>
        </is>
      </c>
      <c r="F19" s="20" t="inlineStr">
        <is>
          <t>Cross-check only; do not override 02/05 FIX</t>
        </is>
      </c>
      <c r="G19" s="20" t="inlineStr">
        <is>
          <t>필수 아님</t>
        </is>
      </c>
      <c r="H19" s="20" t="inlineStr">
        <is>
          <t>Reference-only artifact</t>
        </is>
      </c>
    </row>
    <row r="20" ht="44" customHeight="1">
      <c r="A20" s="20" t="inlineStr">
        <is>
          <t>SRC-DBC</t>
        </is>
      </c>
      <c r="B20" s="20" t="inlineStr">
        <is>
          <t>vehicle.dbc</t>
        </is>
      </c>
      <c r="C20" s="20" t="inlineStr">
        <is>
          <t>Not provided</t>
        </is>
      </c>
      <c r="D20" s="20" t="inlineStr">
        <is>
          <t>Derived CAN database for implementation/decode</t>
        </is>
      </c>
      <c r="E20" s="20" t="inlineStr">
        <is>
          <t>Missing</t>
        </is>
      </c>
      <c r="F20" s="20" t="inlineStr">
        <is>
          <t>Generate/update from 02 FIX Interface after review</t>
        </is>
      </c>
      <c r="G20" s="20" t="inlineStr">
        <is>
          <t>상대 담당자 리뷰 필요</t>
        </is>
      </c>
      <c r="H20" s="20" t="inlineStr">
        <is>
          <t>DBC must match 02/05; Matrix does not override</t>
        </is>
      </c>
    </row>
    <row r="21" ht="37.5" customHeight="1">
      <c r="A21" s="20" t="inlineStr">
        <is>
          <t>SRC-LDF</t>
        </is>
      </c>
      <c r="B21" s="20" t="inlineStr">
        <is>
          <t>vehicle.ldf</t>
        </is>
      </c>
      <c r="C21" s="20" t="inlineStr">
        <is>
          <t>Not provided</t>
        </is>
      </c>
      <c r="D21" s="20" t="inlineStr">
        <is>
          <t>Derived LIN database / schedule artifact</t>
        </is>
      </c>
      <c r="E21" s="20" t="inlineStr">
        <is>
          <t>Planned / not yet generated</t>
        </is>
      </c>
      <c r="F21" s="20" t="inlineStr">
        <is>
          <t>Generate/update from 02 FIX LIN Interface after review</t>
        </is>
      </c>
      <c r="G21" s="20" t="inlineStr">
        <is>
          <t>상대 담당자 리뷰 필요</t>
        </is>
      </c>
      <c r="H21" s="20" t="inlineStr">
        <is>
          <t>LDF must match 02/05; Matrix/Schedule sheets are reference-only</t>
        </is>
      </c>
    </row>
    <row r="22" ht="22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 ht="36" customHeight="1">
      <c r="A23" s="19" t="inlineStr">
        <is>
          <t>Mandatory change control</t>
        </is>
      </c>
    </row>
    <row r="24" ht="34" customHeight="1">
      <c r="A24" s="24" t="inlineStr">
        <is>
          <t>Jira Issue → 기준 산출물(02 메시지 정의서 / 05 요구사항 명세서) 갱신 → 상대 담당자 리뷰 필요 → CANdb++/DBC 또는 LDF 수정 → Firmware / PC Tool / Test 반영 → PR 및 HW/Test Evidence → Jira Done. Merge != Done. Matrix는 필요 시 참고용으로 동기화하며 Baseline 우선순위를 갖지 않습니다.</t>
        </is>
      </c>
      <c r="B24" s="37" t="n"/>
      <c r="C24" s="37" t="n"/>
      <c r="D24" s="37" t="n"/>
      <c r="E24" s="37" t="n"/>
      <c r="F24" s="37" t="n"/>
      <c r="G24" s="37" t="n"/>
      <c r="H24" s="37" t="n"/>
    </row>
    <row r="25" ht="34" customHeight="1"/>
    <row r="26">
      <c r="A26" s="34" t="n"/>
      <c r="B26" s="34" t="n"/>
      <c r="C26" s="34" t="n"/>
      <c r="D26" s="34" t="n"/>
      <c r="E26" s="34" t="n"/>
      <c r="F26" s="34" t="n"/>
      <c r="G26" s="34" t="n"/>
      <c r="H26" s="34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</row>
  </sheetData>
  <mergeCells count="6">
    <mergeCell ref="A4:H4"/>
    <mergeCell ref="A2:H2"/>
    <mergeCell ref="A24:H26"/>
    <mergeCell ref="A13:H13"/>
    <mergeCell ref="A1:H1"/>
    <mergeCell ref="A23:H23"/>
  </mergeCells>
  <conditionalFormatting sqref="F6:F10">
    <cfRule type="containsText" priority="1" operator="containsText" dxfId="4" text="TBD"/>
    <cfRule type="containsText" priority="2" operator="containsText" dxfId="0" text="리뷰"/>
    <cfRule type="containsText" priority="3" operator="containsText" dxfId="2" text="확정"/>
  </conditionalFormatting>
  <conditionalFormatting sqref="G6:G10">
    <cfRule type="containsText" priority="4" operator="containsText" dxfId="0" text="리뷰"/>
  </conditionalFormatting>
  <conditionalFormatting sqref="G15:G21">
    <cfRule type="containsText" priority="5" operator="containsText" dxfId="0" text="리뷰"/>
  </conditionalFormatting>
  <dataValidations count="2">
    <dataValidation sqref="F6:F10" showDropDown="0" showInputMessage="0" showErrorMessage="0" allowBlank="0" type="list">
      <formula1>"기준 문서 반영,기준 예시,확정,TBD/Open,초안"</formula1>
    </dataValidation>
    <dataValidation sqref="G6:G10 G15:G21" showDropDown="0" showInputMessage="0" showErrorMessage="0" allowBlank="0" type="list">
      <formula1>"없음,담당자 확인,상대 담당자 리뷰 필요"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2026-09-28T05:53:54Z</dcterms:created>
  <dcterms:modified xmlns:dcterms="http://purl.org/dc/terms/" xmlns:xsi="http://www.w3.org/2001/XMLSchema-instance" xsi:type="dcterms:W3CDTF">2026-09-30T01:35:13Z</dcterms:modified>
  <cp:lastModifiedBy>User</cp:lastModifiedBy>
</cp:coreProperties>
</file>