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559B6AB-2ED6-4E64-BF92-5007425B083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발주 요약" sheetId="1" r:id="rId1"/>
    <sheet name="발주 상세" sheetId="2" r:id="rId2"/>
    <sheet name="기준·메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" i="1" l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B9" i="1"/>
  <c r="B7" i="1"/>
  <c r="E37" i="2"/>
  <c r="D37" i="2"/>
  <c r="C37" i="2"/>
  <c r="B37" i="2"/>
  <c r="E36" i="2"/>
  <c r="D36" i="2"/>
  <c r="C36" i="2"/>
  <c r="B36" i="2"/>
  <c r="E35" i="2"/>
  <c r="D35" i="2"/>
  <c r="C35" i="2"/>
  <c r="B35" i="2"/>
  <c r="B25" i="1"/>
  <c r="C25" i="1"/>
  <c r="C24" i="1"/>
  <c r="B24" i="1"/>
  <c r="C23" i="1"/>
  <c r="B23" i="1"/>
  <c r="B11" i="1"/>
  <c r="B10" i="1"/>
  <c r="E11" i="3"/>
  <c r="G30" i="2"/>
  <c r="H30" i="2" s="1"/>
  <c r="C34" i="2"/>
  <c r="B34" i="2"/>
  <c r="H29" i="2"/>
  <c r="H28" i="2"/>
  <c r="J28" i="2" s="1"/>
  <c r="H27" i="2"/>
  <c r="J27" i="2" s="1"/>
  <c r="H26" i="2"/>
  <c r="J26" i="2" s="1"/>
  <c r="H25" i="2"/>
  <c r="J25" i="2" s="1"/>
  <c r="H24" i="2"/>
  <c r="J24" i="2" s="1"/>
  <c r="H23" i="2"/>
  <c r="H22" i="2"/>
  <c r="J22" i="2" s="1"/>
  <c r="H21" i="2"/>
  <c r="J21" i="2" s="1"/>
  <c r="H20" i="2"/>
  <c r="J20" i="2" s="1"/>
  <c r="H19" i="2"/>
  <c r="J19" i="2" s="1"/>
  <c r="H18" i="2"/>
  <c r="J18" i="2" s="1"/>
  <c r="H17" i="2"/>
  <c r="J17" i="2" s="1"/>
  <c r="H16" i="2"/>
  <c r="J16" i="2" s="1"/>
  <c r="H15" i="2"/>
  <c r="J15" i="2" s="1"/>
  <c r="H14" i="2"/>
  <c r="J14" i="2" s="1"/>
  <c r="H13" i="2"/>
  <c r="J13" i="2" s="1"/>
  <c r="H12" i="2"/>
  <c r="J12" i="2" s="1"/>
  <c r="H11" i="2"/>
  <c r="J11" i="2" s="1"/>
  <c r="E34" i="2" s="1"/>
  <c r="H10" i="2"/>
  <c r="J10" i="2" s="1"/>
  <c r="H9" i="2"/>
  <c r="J9" i="2" s="1"/>
  <c r="H8" i="2"/>
  <c r="J8" i="2" s="1"/>
  <c r="H7" i="2"/>
  <c r="J7" i="2" s="1"/>
  <c r="J30" i="2" l="1"/>
  <c r="H18" i="1"/>
  <c r="H21" i="1" s="1"/>
  <c r="B6" i="1" s="1"/>
  <c r="J29" i="2"/>
  <c r="D34" i="2"/>
  <c r="J23" i="2"/>
  <c r="B5" i="1" l="1"/>
  <c r="B8" i="1" s="1"/>
</calcChain>
</file>

<file path=xl/sharedStrings.xml><?xml version="1.0" encoding="utf-8"?>
<sst xmlns="http://schemas.openxmlformats.org/spreadsheetml/2006/main" count="335" uniqueCount="236">
  <si>
    <t>FreeRTOS CAN-LIN Gateway 발주 리스트</t>
  </si>
  <si>
    <t>기준일</t>
  </si>
  <si>
    <t>화폐</t>
  </si>
  <si>
    <t>KRW</t>
  </si>
  <si>
    <t>핵심 요약</t>
  </si>
  <si>
    <t>금액·건수</t>
  </si>
  <si>
    <t>프로젝트 기준</t>
  </si>
  <si>
    <t>핸드북 기준</t>
  </si>
  <si>
    <t>DeviceMart 견적 합계 (VAT 포함)</t>
  </si>
  <si>
    <t>CAN</t>
  </si>
  <si>
    <t>500 kbps</t>
  </si>
  <si>
    <t>AliExpress 결제 예상액</t>
  </si>
  <si>
    <t>LIN</t>
  </si>
  <si>
    <t>19.2 kbps</t>
  </si>
  <si>
    <t>전체 예상 지출</t>
  </si>
  <si>
    <t>Motor 기준</t>
  </si>
  <si>
    <t>Virtual Motor ECU</t>
  </si>
  <si>
    <t>전체 발주 라인 수</t>
  </si>
  <si>
    <t>PC 연결</t>
  </si>
  <si>
    <t>CANable → CAN Bus</t>
  </si>
  <si>
    <t>필수 라인 수</t>
  </si>
  <si>
    <t>LIN 노드</t>
  </si>
  <si>
    <t>Gateway Master / Door·Light Slave</t>
  </si>
  <si>
    <t>선택 라인 수</t>
  </si>
  <si>
    <t>인터페이스 리뷰</t>
  </si>
  <si>
    <t>상대 담당자 리뷰 필요</t>
  </si>
  <si>
    <t>공급처별 요약</t>
  </si>
  <si>
    <t>AliExpress 장바구니 조정</t>
  </si>
  <si>
    <t>공급처</t>
  </si>
  <si>
    <t>라인 수</t>
  </si>
  <si>
    <t>주문수량</t>
  </si>
  <si>
    <t>상품 합계(원)</t>
  </si>
  <si>
    <t>공급처 기준 합계(원)</t>
  </si>
  <si>
    <t>항목</t>
  </si>
  <si>
    <t>금액(원)</t>
  </si>
  <si>
    <t>산출·근거</t>
  </si>
  <si>
    <t>DeviceMart</t>
  </si>
  <si>
    <t>총 상품 금액(할인 전)</t>
  </si>
  <si>
    <t>장바구니 요약 표시</t>
  </si>
  <si>
    <t>AliExpress</t>
  </si>
  <si>
    <t>상품 할인</t>
  </si>
  <si>
    <t>전체</t>
  </si>
  <si>
    <t>상품 금액(할인 후)</t>
  </si>
  <si>
    <t>발주 상세 AliExpress 품목 합계</t>
  </si>
  <si>
    <t>배송</t>
  </si>
  <si>
    <t>추가 할인</t>
  </si>
  <si>
    <t>필수·선택 요약</t>
  </si>
  <si>
    <t>결제 예상액</t>
  </si>
  <si>
    <t>상품 금액(할인 후) + 배송 + 추가 할인</t>
  </si>
  <si>
    <t>구분</t>
  </si>
  <si>
    <t>상품 금액(원)</t>
  </si>
  <si>
    <t>필수</t>
  </si>
  <si>
    <t>선택</t>
  </si>
  <si>
    <t>발주 판단 메모</t>
  </si>
  <si>
    <t>필수: CAN/LIN 인터페이스, PC Diagnostic Tool 연결, 기본 프로토타이핑·검증에 필요한 품목.</t>
  </si>
  <si>
    <t>선택: 실제 모터·액추에이터·디스플레이 연동 등 핸드북의 Stretch Goal 또는 예비·편의 품목.</t>
  </si>
  <si>
    <t>주의: CAN/LIN 물리 부품의 최종 선정과 수량 변경은 상대 담당자 리뷰 필요.</t>
  </si>
  <si>
    <t>가격: AliExpress는 2026-09-18 장바구니 캡처 기준이며 결제 시 변동 가능.</t>
  </si>
  <si>
    <t>발주 상세</t>
  </si>
  <si>
    <t>원본 견적·장바구니에 표시된 품목을 한 표로 통합. DeviceMart 단가는 VAT 별도, AliExpress 단가는 장바구니 표시가 기준.</t>
  </si>
  <si>
    <t>핵심 CAN/LIN·PC·검증 인프라</t>
  </si>
  <si>
    <t>물리 액추에이터·디스플레이·예비/확장</t>
  </si>
  <si>
    <t>원본 No.</t>
  </si>
  <si>
    <t>품목 / 모델명</t>
  </si>
  <si>
    <t>단위</t>
  </si>
  <si>
    <t>구성 / 사양</t>
  </si>
  <si>
    <t>단가(원)</t>
  </si>
  <si>
    <t>VAT 계산율</t>
  </si>
  <si>
    <t>VAT 포함 금액(원)</t>
  </si>
  <si>
    <t>필수/선택</t>
  </si>
  <si>
    <t>프로젝트 사용처 / 용도</t>
  </si>
  <si>
    <t>비고 / 근거</t>
  </si>
  <si>
    <t>1</t>
  </si>
  <si>
    <t>1/4W 1% Axial Resistor 121F (120Ω)</t>
  </si>
  <si>
    <t>개</t>
  </si>
  <si>
    <t>120Ω / CODE 1997</t>
  </si>
  <si>
    <t>CAN Bus 종단저항</t>
  </si>
  <si>
    <t>CAN 버스 양 끝 2개 사용 + 예비. 디바이스마트 견적서</t>
  </si>
  <si>
    <t>2</t>
  </si>
  <si>
    <t>GA12-N20 소형 DC 기어드모터 12V 100RPM (VLT-MT042)</t>
  </si>
  <si>
    <t>12V / 100RPM / CODE 15960949</t>
  </si>
  <si>
    <t>실제 Motor ECU·액추에이터 연동</t>
  </si>
  <si>
    <t>Virtual Motor 기준의 물리 연동 확장. 디바이스마트 견적서</t>
  </si>
  <si>
    <t>3</t>
  </si>
  <si>
    <t>LY-03-OF DC 12V 도어락 전자 솔레노이드 ON-OFF</t>
  </si>
  <si>
    <t>DC 12V / CODE 14633383</t>
  </si>
  <si>
    <t>Door ECU 잠금·해제 물리 시연</t>
  </si>
  <si>
    <t>LIN Door 하드웨어 확장. 디바이스마트 견적서</t>
  </si>
  <si>
    <t>4</t>
  </si>
  <si>
    <t>V-J166-1C25</t>
  </si>
  <si>
    <t>CODE 1327040</t>
  </si>
  <si>
    <t>구동부 배선·제어 보조</t>
  </si>
  <si>
    <t>견적서에 모델명만 표기되어 정확 용도 확인 필요</t>
  </si>
  <si>
    <t>5</t>
  </si>
  <si>
    <t>[5PR3HD19] 원통 평면형 5파이 볼록형 LED (빨강)</t>
  </si>
  <si>
    <t>CODE 3218</t>
  </si>
  <si>
    <t>Light ECU 상태·램프 출력 표시</t>
  </si>
  <si>
    <t>물리 Light 하드웨어 확장. 디바이스마트 견적서</t>
  </si>
  <si>
    <t>6</t>
  </si>
  <si>
    <t>[5G3HT-10] 5파이 고휘도 LED 반투명 (녹색)</t>
  </si>
  <si>
    <t>CODE 2853</t>
  </si>
  <si>
    <t>7</t>
  </si>
  <si>
    <t>[5Y3HT-10] 5파이 고휘도 LED 반투명 (노랑색)</t>
  </si>
  <si>
    <t>CODE 2852</t>
  </si>
  <si>
    <t>8</t>
  </si>
  <si>
    <t>1/4W 1% Axial Resistor 2R2F (2.2Ω)</t>
  </si>
  <si>
    <t>2.2Ω / CODE 1968</t>
  </si>
  <si>
    <t>LED·구동 회로 시제품 보조</t>
  </si>
  <si>
    <t>회로 정격 확인 필요. 디바이스마트 견적서</t>
  </si>
  <si>
    <t>9</t>
  </si>
  <si>
    <t>DC 기어모터 6V 100RPM 0.5kg·cm</t>
  </si>
  <si>
    <t>64020010 / CODE 1382440</t>
  </si>
  <si>
    <t>실제 Motor·Window 하드웨어 연동</t>
  </si>
  <si>
    <t>물리 액추에이터 확장. 디바이스마트 견적서</t>
  </si>
  <si>
    <t>10</t>
  </si>
  <si>
    <t>3Amp 4V-16V DC Motor Driver (2 Channels) [MDD3A]</t>
  </si>
  <si>
    <t>MDD3A / CODE 13179309</t>
  </si>
  <si>
    <t>실제 모터 구동 테스트</t>
  </si>
  <si>
    <t>물리 Motor 확장. 디바이스마트 견적서</t>
  </si>
  <si>
    <t>11</t>
  </si>
  <si>
    <t>어댑터 190~240V / 12V 5A</t>
  </si>
  <si>
    <t>DC 2.0~2.5mm / 외경 5.0~5.5mm / CODE 1218074</t>
  </si>
  <si>
    <t>12V 액추에이터 전원</t>
  </si>
  <si>
    <t>실제 하드웨어 연동 시 사용. 디바이스마트 견적서</t>
  </si>
  <si>
    <t>12</t>
  </si>
  <si>
    <t>LM2596S 강하형 DC/DC 변환 모듈</t>
  </si>
  <si>
    <t>CODE 38305</t>
  </si>
  <si>
    <t>12V에서 보조 저전압 생성</t>
  </si>
  <si>
    <t>보조·예비 1개. 출력전압 조정 후 사용. 디바이스마트 견적서</t>
  </si>
  <si>
    <t>13</t>
  </si>
  <si>
    <t>브레드보드 830핀 흰색 (VLT-BB016)</t>
  </si>
  <si>
    <t>CODE 15960353</t>
  </si>
  <si>
    <t>CAN/LIN 노드와 회로 프로토타이핑</t>
  </si>
  <si>
    <t>7인 팀 테스트 구성 및 예비. 디바이스마트 견적서</t>
  </si>
  <si>
    <t>14</t>
  </si>
  <si>
    <t>아두이노 나노 USB A to Mini B 케이블 1M (VLT-CAB074)</t>
  </si>
  <si>
    <t>CODE 15959983</t>
  </si>
  <si>
    <t>NUCLEO-F446RE 프로그래밍·USB 전원</t>
  </si>
  <si>
    <t>7대 사용 + 예비. 디바이스마트 견적서</t>
  </si>
  <si>
    <t>15</t>
  </si>
  <si>
    <t>1/4W 1% 저항 14종 키트 (NT-KIT-R015)</t>
  </si>
  <si>
    <t>키트</t>
  </si>
  <si>
    <t>CODE 1381629</t>
  </si>
  <si>
    <t>회로 시제품·예비저항</t>
  </si>
  <si>
    <t>프로토타이핑 보조. 디바이스마트 견적서</t>
  </si>
  <si>
    <t>16</t>
  </si>
  <si>
    <t>모노리틱 커패시터 샘플 키트 (CA-KIT-06)</t>
  </si>
  <si>
    <t>CODE 12779010</t>
  </si>
  <si>
    <t>디커플링·노이즈 대책 시제품</t>
  </si>
  <si>
    <t>A1</t>
  </si>
  <si>
    <t>LIN 2.1 / SAE J2602 트랜시버 LIN Bus Master-Slave 모듈</t>
  </si>
  <si>
    <t>모듈</t>
  </si>
  <si>
    <t>LIN 2.1 / Master-Slave</t>
  </si>
  <si>
    <t>Gateway·Door·Light LIN 물리 인터페이스</t>
  </si>
  <si>
    <t>장바구니 이미지 1. Eletechsup 판매자. CAN/LIN 인터페이스 확정 시 상대 담당자 리뷰 필요</t>
  </si>
  <si>
    <t>A2</t>
  </si>
  <si>
    <t>MKS CANable V2.0 S Pro USB-CAN 어댑터 분석기</t>
  </si>
  <si>
    <t>CANable V2.0 S Pro</t>
  </si>
  <si>
    <t>PC Diagnostic Tool와 CAN Bus 연결</t>
  </si>
  <si>
    <t>핸드북의 PC 연결 장비. 장바구니 이미지 1</t>
  </si>
  <si>
    <t>A3</t>
  </si>
  <si>
    <t>AT42 4.0인치 SPI TFT LCD 터치 디스플레이 모듈</t>
  </si>
  <si>
    <t>ST7796S / SPI</t>
  </si>
  <si>
    <t>Cluster 상태·Fault 화면</t>
  </si>
  <si>
    <t>물리 Cluster 시각화 확장. 장바구니 이미지 1</t>
  </si>
  <si>
    <t>A4</t>
  </si>
  <si>
    <t>SN65HVD230 VP230 CAN 트랜시버 모듈</t>
  </si>
  <si>
    <t>5PCS 세트</t>
  </si>
  <si>
    <t>DC 3.0~3.6V / 5개 구성</t>
  </si>
  <si>
    <t>VCU·Motor·Gateway·Cluster CAN 물리 인터페이스</t>
  </si>
  <si>
    <t>4개 CAN Node + 1개 예비. 장바구니 이미지 2</t>
  </si>
  <si>
    <t>A5</t>
  </si>
  <si>
    <t>USB 로직 분석기 24MHz 8채널</t>
  </si>
  <si>
    <t>Type-C / 24MHz / 8채널</t>
  </si>
  <si>
    <t>CAN/LIN 파형·주기·타이밍 검증</t>
  </si>
  <si>
    <t>1개 이상 필요. 3개는 병렬 측정·예비. 장바구니 이미지 2</t>
  </si>
  <si>
    <t>A6</t>
  </si>
  <si>
    <t>L298N 스테퍼 모터 드라이버 컨트롤러 보드</t>
  </si>
  <si>
    <t>1~10PCS L298N Module</t>
  </si>
  <si>
    <t>실제 모터·액추에이터 구동 테스트</t>
  </si>
  <si>
    <t>MDD3A와 기능 중복 여부 확인. 장바구니 이미지 2</t>
  </si>
  <si>
    <t>A7</t>
  </si>
  <si>
    <t>1000V 10A 디지털 멀티미터 테스트 리드</t>
  </si>
  <si>
    <t>세트</t>
  </si>
  <si>
    <t>범용 측정 리드</t>
  </si>
  <si>
    <t>전원·출력전압·연속성 점검</t>
  </si>
  <si>
    <t>장바구니 이미지 2</t>
  </si>
  <si>
    <t>공급처별 소계</t>
  </si>
  <si>
    <t>기준·메모</t>
  </si>
  <si>
    <t>발주 분류와 금액 산출에 사용한 프로젝트 기준 및 원본 확인 사항</t>
  </si>
  <si>
    <t>원본 가격 기준</t>
  </si>
  <si>
    <t>금액</t>
  </si>
  <si>
    <t>근거</t>
  </si>
  <si>
    <t>CAN bitrate</t>
  </si>
  <si>
    <t>DeviceMart 공급가</t>
  </si>
  <si>
    <t>디바이스마트 견적서.pdf</t>
  </si>
  <si>
    <t>LIN bitrate</t>
  </si>
  <si>
    <t>DeviceMart VAT</t>
  </si>
  <si>
    <t>견적서 VAT 10%</t>
  </si>
  <si>
    <t>CAN Node</t>
  </si>
  <si>
    <t>VCU / Motor / Gateway / Cluster</t>
  </si>
  <si>
    <t>DeviceMart VAT 포함</t>
  </si>
  <si>
    <t>견적서 합계</t>
  </si>
  <si>
    <t>LIN Node</t>
  </si>
  <si>
    <t>Gateway Master / Door Slave / Light Slave</t>
  </si>
  <si>
    <t>AliExpress 상품(할인 후)</t>
  </si>
  <si>
    <t>AliExpress 장바구니 이미지</t>
  </si>
  <si>
    <t>PC interface</t>
  </si>
  <si>
    <t>AliExpress 배송</t>
  </si>
  <si>
    <t>장바구니 요약</t>
  </si>
  <si>
    <t>Motor baseline</t>
  </si>
  <si>
    <t>Virtual Motor ECU. 실제 모터 연동은 Stretch Goal</t>
  </si>
  <si>
    <t>AliExpress 결제 예상</t>
  </si>
  <si>
    <t>필수·선택 분류 원칙</t>
  </si>
  <si>
    <t>핵심 CAN/LIN 인터페이스, PC Diagnostic Tool 연결, 기본 프로토타이핑·검증에 필요한 품목</t>
  </si>
  <si>
    <t>핸드북의 기본 산출물·검증 경로 기준</t>
  </si>
  <si>
    <t>실제 모터·액추에이터·디스플레이 등 물리 연동 확장 또는 예비·편의 품목</t>
  </si>
  <si>
    <t>Virtual Motor baseline / Stretch Goal 기준</t>
  </si>
  <si>
    <t>확인 필요·중복 제외 메모</t>
  </si>
  <si>
    <t>1. SN65HVD230 5PCS 세트를 발주 대상으로 반영함. VLT-CAN002는 참고 이미지의 대체품이므로 중복 반영하지 않음.</t>
  </si>
  <si>
    <t>2. SN65HVD230 구성 수량은 5개이며, CAN Node 4개(VCU·Motor·Gateway·Cluster) + 예비 1개로 메모함.</t>
  </si>
  <si>
    <t>3. V-J166-1C25는 견적서에 모델명만 표시되어 정확 용도 확인 필요.</t>
  </si>
  <si>
    <t>4. 15A ATO Fuse 상품 페이지는 현재 DeviceMart 견적서에 포함되지 않음. 부하·배선 정격 확인 후 별도 확정.</t>
  </si>
  <si>
    <t>5. AliExpress 금액은 2026-09-18 장바구니 캡처 기준이며, 상품가·배송·할인은 결제 시 변동 가능.</t>
  </si>
  <si>
    <t>6. CAN/LIN 물리 인터페이스 품목의 변경 또는 수량 확정은 상대 담당자 리뷰 필요.</t>
  </si>
  <si>
    <t>DigiKey</t>
  </si>
  <si>
    <t>D1</t>
  </si>
  <si>
    <t>NUCLEO-F446RE STM32F446RE 평가보드</t>
  </si>
  <si>
    <t>497-15882-ND / NUCLEO-64 STM32F446RE EVAL BRD</t>
  </si>
  <si>
    <t>FreeRTOS CAN/LIN ECU 개발·검증 보드</t>
  </si>
  <si>
    <t>DigiKey 장바구니 캡처 기준. 단가 US$18.82, 상품 합계 US$131.74. 배송비·관부가세 미포함</t>
  </si>
  <si>
    <t>DigiKey 상품(배송 제외)</t>
  </si>
  <si>
    <t>DigiKey 장바구니 캡처: US$131.74</t>
  </si>
  <si>
    <t>USD/KRW 적용 환율</t>
  </si>
  <si>
    <t>2026-09-18 USD/KRW 종가 기준</t>
  </si>
  <si>
    <t>DigiKey 상품 예상액 (배송 제외)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</si>
</sst>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8">
    <font>
      <sz val="11"/>
      <name val="Carlito"/>
    </font>
    <font>
      <sz val="10"/>
      <color rgb="FF1F2937"/>
      <name val="Arial"/>
      <family val="2"/>
    </font>
    <font>
      <b/>
      <sz val="16"/>
      <color rgb="FF17365D"/>
      <name val="Arial"/>
      <family val="2"/>
    </font>
    <font>
      <i/>
      <sz val="10"/>
      <color rgb="FF5B6573"/>
      <name val="Arial"/>
      <family val="2"/>
    </font>
    <font>
      <b/>
      <sz val="10"/>
      <color rgb="FFFFFFFF"/>
      <name val="Arial"/>
      <family val="2"/>
    </font>
    <font>
      <b/>
      <sz val="10"/>
      <color rgb="FF1F2937"/>
      <name val="Arial"/>
      <family val="2"/>
    </font>
    <font>
      <b/>
      <sz val="10"/>
      <color rgb="FF7F6000"/>
      <name val="Arial"/>
      <family val="2"/>
    </font>
    <font>
      <b/>
      <sz val="10"/>
      <color rgb="FF17365D"/>
      <name val="Arial"/>
      <family val="2"/>
    </font>
    <font>
      <sz val="10"/>
      <color rgb="FF4B5563"/>
      <name val="Arial"/>
      <family val="2"/>
    </font>
    <font>
      <sz val="9"/>
      <color rgb="FF1F2937"/>
      <name val="Arial"/>
      <family val="2"/>
    </font>
    <font>
      <i/>
      <sz val="9"/>
      <color rgb="FF5B6573"/>
      <name val="Arial"/>
      <family val="2"/>
    </font>
    <font>
      <b/>
      <sz val="9"/>
      <color rgb="FF1F2937"/>
      <name val="Arial"/>
      <family val="2"/>
    </font>
    <font>
      <b/>
      <sz val="9"/>
      <color rgb="FF7F6000"/>
      <name val="Arial"/>
      <family val="2"/>
    </font>
    <font>
      <b/>
      <sz val="9"/>
      <color rgb="FFFFFFFF"/>
      <name val="Arial"/>
      <family val="2"/>
    </font>
    <font>
      <b/>
      <sz val="9"/>
      <color rgb="FF17365D"/>
      <name val="Arial"/>
      <family val="2"/>
    </font>
    <font>
      <b/>
      <sz val="11"/>
      <color rgb="FF1F2937"/>
      <name val="Arial"/>
      <family val="2"/>
    </font>
    <font>
      <sz val="11"/>
      <name val="Carlito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F2F7FC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5B9BD5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medium">
        <color rgb="FF5B9BD5"/>
      </top>
      <bottom/>
      <diagonal/>
    </border>
    <border>
      <left/>
      <right/>
      <top/>
      <bottom style="medium">
        <color rgb="FFA5A5A5"/>
      </bottom>
      <diagonal/>
    </border>
  </borders>
  <cellStyleXfs count="2">
    <xf numFmtId="0" fontId="0" fillId="0" borderId="0"/>
    <xf numFmtId="0" fontId="16" fillId="0" borderId="0"/>
  </cellStyleXfs>
  <cellXfs count="57">
    <xf numFmtId="0" fontId="0" fillId="0" borderId="0" xfId="0"/>
    <xf numFmtId="0" fontId="1" fillId="0" borderId="0" xfId="1" applyFont="1"/>
    <xf numFmtId="0" fontId="2" fillId="0" borderId="1" xfId="1" applyFont="1" applyBorder="1" applyAlignment="1">
      <alignment vertical="center"/>
    </xf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0" borderId="3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6" fillId="4" borderId="7" xfId="1" applyFont="1" applyFill="1" applyBorder="1" applyAlignment="1">
      <alignment vertical="center" wrapText="1"/>
    </xf>
    <xf numFmtId="0" fontId="7" fillId="6" borderId="8" xfId="1" applyFont="1" applyFill="1" applyBorder="1" applyAlignment="1">
      <alignment horizontal="center" vertical="center" wrapText="1"/>
    </xf>
    <xf numFmtId="0" fontId="1" fillId="0" borderId="8" xfId="1" applyFont="1" applyBorder="1" applyAlignment="1">
      <alignment vertical="center"/>
    </xf>
    <xf numFmtId="0" fontId="1" fillId="0" borderId="8" xfId="1" applyFont="1" applyBorder="1" applyAlignment="1">
      <alignment vertical="center" wrapText="1"/>
    </xf>
    <xf numFmtId="0" fontId="5" fillId="3" borderId="8" xfId="1" applyFont="1" applyFill="1" applyBorder="1" applyAlignment="1">
      <alignment vertical="center" wrapText="1"/>
    </xf>
    <xf numFmtId="0" fontId="3" fillId="0" borderId="0" xfId="1" applyFont="1" applyAlignment="1">
      <alignment vertical="center" wrapText="1"/>
    </xf>
    <xf numFmtId="176" fontId="3" fillId="0" borderId="0" xfId="1" applyNumberFormat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2" xfId="1" applyFont="1" applyBorder="1" applyAlignment="1">
      <alignment vertical="center" wrapText="1"/>
    </xf>
    <xf numFmtId="3" fontId="1" fillId="0" borderId="3" xfId="1" applyNumberFormat="1" applyFont="1" applyBorder="1" applyAlignment="1">
      <alignment vertical="center" wrapText="1"/>
    </xf>
    <xf numFmtId="0" fontId="1" fillId="0" borderId="4" xfId="1" applyFont="1" applyBorder="1" applyAlignment="1">
      <alignment vertical="center" wrapText="1"/>
    </xf>
    <xf numFmtId="3" fontId="1" fillId="0" borderId="5" xfId="1" applyNumberFormat="1" applyFont="1" applyBorder="1" applyAlignment="1">
      <alignment vertical="center" wrapText="1"/>
    </xf>
    <xf numFmtId="0" fontId="5" fillId="3" borderId="4" xfId="1" applyFont="1" applyFill="1" applyBorder="1" applyAlignment="1">
      <alignment vertical="center" wrapText="1"/>
    </xf>
    <xf numFmtId="3" fontId="5" fillId="3" borderId="5" xfId="1" applyNumberFormat="1" applyFont="1" applyFill="1" applyBorder="1" applyAlignment="1">
      <alignment vertical="center" wrapText="1"/>
    </xf>
    <xf numFmtId="0" fontId="1" fillId="0" borderId="6" xfId="1" applyFont="1" applyBorder="1" applyAlignment="1">
      <alignment vertical="center" wrapText="1"/>
    </xf>
    <xf numFmtId="3" fontId="1" fillId="0" borderId="8" xfId="1" applyNumberFormat="1" applyFont="1" applyBorder="1" applyAlignment="1">
      <alignment vertical="center" wrapText="1"/>
    </xf>
    <xf numFmtId="38" fontId="1" fillId="0" borderId="8" xfId="1" applyNumberFormat="1" applyFont="1" applyBorder="1" applyAlignment="1">
      <alignment vertical="center" wrapText="1"/>
    </xf>
    <xf numFmtId="3" fontId="5" fillId="3" borderId="8" xfId="1" applyNumberFormat="1" applyFont="1" applyFill="1" applyBorder="1" applyAlignment="1">
      <alignment vertical="center" wrapText="1"/>
    </xf>
    <xf numFmtId="38" fontId="5" fillId="3" borderId="8" xfId="1" applyNumberFormat="1" applyFont="1" applyFill="1" applyBorder="1" applyAlignment="1">
      <alignment vertical="center" wrapText="1"/>
    </xf>
    <xf numFmtId="0" fontId="13" fillId="2" borderId="0" xfId="1" applyFont="1" applyFill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3" fontId="9" fillId="0" borderId="0" xfId="1" applyNumberFormat="1" applyFont="1" applyAlignment="1">
      <alignment vertical="center" wrapText="1"/>
    </xf>
    <xf numFmtId="9" fontId="9" fillId="0" borderId="0" xfId="1" applyNumberFormat="1" applyFont="1" applyAlignment="1">
      <alignment vertical="center" wrapText="1"/>
    </xf>
    <xf numFmtId="0" fontId="9" fillId="7" borderId="9" xfId="1" applyFont="1" applyFill="1" applyBorder="1" applyAlignment="1">
      <alignment vertical="center" wrapText="1"/>
    </xf>
    <xf numFmtId="3" fontId="9" fillId="7" borderId="9" xfId="1" applyNumberFormat="1" applyFont="1" applyFill="1" applyBorder="1" applyAlignment="1">
      <alignment vertical="center" wrapText="1"/>
    </xf>
    <xf numFmtId="9" fontId="9" fillId="7" borderId="9" xfId="1" applyNumberFormat="1" applyFont="1" applyFill="1" applyBorder="1" applyAlignment="1">
      <alignment vertical="center" wrapText="1"/>
    </xf>
    <xf numFmtId="0" fontId="9" fillId="0" borderId="0" xfId="1" applyFont="1" applyAlignment="1">
      <alignment vertical="center"/>
    </xf>
    <xf numFmtId="0" fontId="11" fillId="3" borderId="0" xfId="1" applyFont="1" applyFill="1" applyAlignment="1">
      <alignment vertical="center"/>
    </xf>
    <xf numFmtId="0" fontId="12" fillId="4" borderId="0" xfId="1" applyFont="1" applyFill="1" applyAlignment="1">
      <alignment vertical="center"/>
    </xf>
    <xf numFmtId="0" fontId="14" fillId="6" borderId="8" xfId="1" applyFont="1" applyFill="1" applyBorder="1" applyAlignment="1">
      <alignment horizontal="center" vertical="center" wrapText="1"/>
    </xf>
    <xf numFmtId="0" fontId="9" fillId="0" borderId="8" xfId="1" applyFont="1" applyBorder="1" applyAlignment="1">
      <alignment vertical="center"/>
    </xf>
    <xf numFmtId="0" fontId="15" fillId="3" borderId="8" xfId="1" applyFont="1" applyFill="1" applyBorder="1" applyAlignment="1">
      <alignment vertical="center"/>
    </xf>
    <xf numFmtId="3" fontId="15" fillId="3" borderId="8" xfId="1" applyNumberFormat="1" applyFont="1" applyFill="1" applyBorder="1" applyAlignment="1">
      <alignment vertical="center"/>
    </xf>
    <xf numFmtId="0" fontId="0" fillId="0" borderId="0" xfId="1" applyFont="1" applyAlignment="1">
      <alignment vertical="center"/>
    </xf>
    <xf numFmtId="0" fontId="1" fillId="3" borderId="8" xfId="1" applyFont="1" applyFill="1" applyBorder="1" applyAlignment="1">
      <alignment vertical="center" wrapText="1"/>
    </xf>
    <xf numFmtId="0" fontId="1" fillId="4" borderId="8" xfId="1" applyFont="1" applyFill="1" applyBorder="1" applyAlignment="1">
      <alignment vertical="center" wrapText="1"/>
    </xf>
    <xf numFmtId="0" fontId="2" fillId="0" borderId="10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4" fillId="5" borderId="0" xfId="1" applyFont="1" applyFill="1" applyAlignment="1">
      <alignment vertical="center" wrapText="1"/>
    </xf>
    <xf numFmtId="0" fontId="8" fillId="0" borderId="0" xfId="1" applyFont="1" applyAlignment="1">
      <alignment vertical="center" wrapText="1"/>
    </xf>
    <xf numFmtId="0" fontId="10" fillId="0" borderId="0" xfId="1" applyFont="1" applyAlignment="1">
      <alignment vertical="center" wrapText="1"/>
    </xf>
    <xf numFmtId="0" fontId="13" fillId="5" borderId="0" xfId="1" applyFont="1" applyFill="1" applyAlignment="1">
      <alignment vertical="center"/>
    </xf>
    <xf numFmtId="0" fontId="10" fillId="0" borderId="0" xfId="1" applyFont="1" applyAlignment="1">
      <alignment vertical="center"/>
    </xf>
    <xf numFmtId="0" fontId="4" fillId="5" borderId="0" xfId="1" applyFont="1" applyFill="1" applyAlignment="1">
      <alignment vertical="center"/>
    </xf>
    <xf numFmtId="3" fontId="0" fillId="0" borderId="8" xfId="1" applyNumberFormat="1" applyFont="1" applyBorder="1" applyAlignment="1">
      <alignment vertical="center"/>
    </xf>
    <xf numFmtId="3" fontId="0" fillId="0" borderId="8" xfId="1" applyNumberFormat="1" applyFont="1" applyBorder="1" applyAlignment="1">
      <alignment vertical="center" wrapText="1"/>
    </xf>
    <xf numFmtId="3" fontId="0" fillId="0" borderId="7" xfId="1" applyNumberFormat="1" applyFont="1" applyBorder="1" applyAlignment="1">
      <alignment vertical="center" wrapText="1"/>
    </xf>
    <xf numFmtId="3" fontId="0" fillId="0" borderId="5" xfId="1" applyNumberFormat="1" applyFont="1" applyBorder="1" applyAlignment="1">
      <alignment vertical="center" wrapText="1"/>
    </xf>
    <xf numFmtId="4" fontId="1" fillId="0" borderId="8" xfId="1" applyNumberFormat="1" applyFont="1" applyBorder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2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56029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rchaseDetail" displayName="PurchaseDetail" ref="A6:M30" totalsRowShown="0">
  <autoFilter ref="A6:M30" xr:uid="{00000000-0009-0000-0100-000001000000}"/>
  <tableColumns count="13">
    <tableColumn id="1" xr3:uid="{00000000-0010-0000-0000-000001000000}" name="공급처"/>
    <tableColumn id="2" xr3:uid="{00000000-0010-0000-0000-000002000000}" name="원본 No."/>
    <tableColumn id="3" xr3:uid="{00000000-0010-0000-0000-000003000000}" name="품목 / 모델명"/>
    <tableColumn id="4" xr3:uid="{00000000-0010-0000-0000-000004000000}" name="주문수량"/>
    <tableColumn id="5" xr3:uid="{00000000-0010-0000-0000-000005000000}" name="단위"/>
    <tableColumn id="6" xr3:uid="{00000000-0010-0000-0000-000006000000}" name="구성 / 사양"/>
    <tableColumn id="7" xr3:uid="{00000000-0010-0000-0000-000007000000}" name="단가(원)"/>
    <tableColumn id="8" xr3:uid="{00000000-0010-0000-0000-000008000000}" name="금액(원)"/>
    <tableColumn id="9" xr3:uid="{00000000-0010-0000-0000-000009000000}" name="VAT 계산율"/>
    <tableColumn id="10" xr3:uid="{00000000-0010-0000-0000-00000A000000}" name="VAT 포함 금액(원)"/>
    <tableColumn id="11" xr3:uid="{00000000-0010-0000-0000-00000B000000}" name="필수/선택"/>
    <tableColumn id="12" xr3:uid="{00000000-0010-0000-0000-00000C000000}" name="프로젝트 사용처 / 용도"/>
    <tableColumn id="13" xr3:uid="{00000000-0010-0000-0000-00000D000000}" name="비고 / 근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8B192E-557E-4F62-89D0-C4F734975817}">
  <we:reference id="wa200010215" version="2.0.0.0" store="ko-KR" storeType="OMEX"/>
  <we:alternateReferences>
    <we:reference id="wa200010215" version="2.0.0.0" store="WA200010215" storeType="OMEX"/>
  </we:alternateReferences>
  <we:properties>
    <we:property name="bps.codex_control.document_id" value="&quot;95c0930b-865b-46a1-950b-beb6c7fec6d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I32"/>
  <sheetViews>
    <sheetView showGridLines="0" tabSelected="1" workbookViewId="0">
      <selection activeCell="G5" sqref="G5"/>
    </sheetView>
  </sheetViews>
  <sheetFormatPr defaultRowHeight="14"/>
  <cols>
    <col min="1" max="1" width="28" customWidth="1"/>
    <col min="2" max="2" width="16" customWidth="1"/>
    <col min="3" max="3" width="19" customWidth="1"/>
    <col min="4" max="4" width="28" customWidth="1"/>
    <col min="5" max="5" width="19" customWidth="1"/>
    <col min="6" max="6" width="3" customWidth="1"/>
    <col min="7" max="7" width="24" customWidth="1"/>
    <col min="8" max="8" width="16" customWidth="1"/>
    <col min="9" max="9" width="28" customWidth="1"/>
  </cols>
  <sheetData>
    <row r="1" spans="1:9" ht="26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</row>
    <row r="2" spans="1:9">
      <c r="A2" s="12" t="s">
        <v>1</v>
      </c>
      <c r="B2" s="13">
        <v>46283</v>
      </c>
      <c r="C2" s="12" t="s">
        <v>2</v>
      </c>
      <c r="D2" s="12" t="s">
        <v>3</v>
      </c>
      <c r="E2" s="14"/>
      <c r="F2" s="14"/>
      <c r="G2" s="14"/>
      <c r="H2" s="14"/>
      <c r="I2" s="14"/>
    </row>
    <row r="3" spans="1:9">
      <c r="A3" s="14"/>
      <c r="B3" s="14"/>
      <c r="C3" s="14"/>
      <c r="D3" s="14"/>
      <c r="E3" s="14"/>
      <c r="F3" s="14"/>
      <c r="G3" s="14"/>
      <c r="H3" s="14"/>
      <c r="I3" s="14"/>
    </row>
    <row r="4" spans="1:9" ht="23" customHeight="1">
      <c r="A4" s="15" t="s">
        <v>4</v>
      </c>
      <c r="B4" s="15" t="s">
        <v>5</v>
      </c>
      <c r="C4" s="15" t="s">
        <v>6</v>
      </c>
      <c r="D4" s="15" t="s">
        <v>7</v>
      </c>
      <c r="E4" s="14"/>
      <c r="F4" s="14"/>
      <c r="G4" s="14"/>
      <c r="H4" s="14"/>
      <c r="I4" s="14"/>
    </row>
    <row r="5" spans="1:9" ht="23" customHeight="1">
      <c r="A5" s="16" t="s">
        <v>8</v>
      </c>
      <c r="B5" s="17">
        <f>'발주 상세'!$E$34</f>
        <v>195250</v>
      </c>
      <c r="C5" s="16" t="s">
        <v>9</v>
      </c>
      <c r="D5" s="5" t="s">
        <v>10</v>
      </c>
      <c r="E5" s="14"/>
      <c r="F5" s="14"/>
      <c r="G5" s="14"/>
      <c r="H5" s="14"/>
      <c r="I5" s="14"/>
    </row>
    <row r="6" spans="1:9" ht="23" customHeight="1">
      <c r="A6" s="18" t="s">
        <v>11</v>
      </c>
      <c r="B6" s="19">
        <f>H21</f>
        <v>119664</v>
      </c>
      <c r="C6" s="18" t="s">
        <v>12</v>
      </c>
      <c r="D6" s="6" t="s">
        <v>13</v>
      </c>
      <c r="E6" s="14"/>
      <c r="F6" s="14"/>
      <c r="G6" s="14"/>
      <c r="H6" s="14"/>
      <c r="I6" s="14"/>
    </row>
    <row r="7" spans="1:9" ht="23" customHeight="1">
      <c r="A7" s="18" t="s">
        <v>235</v>
      </c>
      <c r="B7" s="19">
        <f>'발주 상세'!$E$36</f>
        <v>182093.66280000002</v>
      </c>
      <c r="C7" s="18"/>
      <c r="D7" s="6"/>
      <c r="E7" s="14"/>
      <c r="F7" s="14"/>
      <c r="G7" s="14"/>
      <c r="H7" s="14"/>
      <c r="I7" s="14"/>
    </row>
    <row r="8" spans="1:9" ht="23" customHeight="1">
      <c r="A8" s="20" t="s">
        <v>14</v>
      </c>
      <c r="B8" s="21">
        <f>SUM(B5:B7)</f>
        <v>497007.66280000005</v>
      </c>
      <c r="C8" s="18" t="s">
        <v>15</v>
      </c>
      <c r="D8" s="6" t="s">
        <v>16</v>
      </c>
      <c r="E8" s="14"/>
      <c r="F8" s="14"/>
      <c r="G8" s="14"/>
      <c r="H8" s="14"/>
      <c r="I8" s="14"/>
    </row>
    <row r="9" spans="1:9" ht="23" customHeight="1">
      <c r="A9" s="18" t="s">
        <v>17</v>
      </c>
      <c r="B9" s="19">
        <f>SUM('발주 상세'!$B$34:$B$36)</f>
        <v>24</v>
      </c>
      <c r="C9" s="18" t="s">
        <v>18</v>
      </c>
      <c r="D9" s="6" t="s">
        <v>19</v>
      </c>
      <c r="E9" s="14"/>
      <c r="F9" s="14"/>
      <c r="G9" s="14"/>
      <c r="H9" s="14"/>
      <c r="I9" s="14"/>
    </row>
    <row r="10" spans="1:9" ht="23" customHeight="1">
      <c r="A10" s="18" t="s">
        <v>20</v>
      </c>
      <c r="B10" s="55">
        <f>COUNTIFS('발주 상세'!$K$7:$K$30,"필수")</f>
        <v>9</v>
      </c>
      <c r="C10" s="18" t="s">
        <v>21</v>
      </c>
      <c r="D10" s="6" t="s">
        <v>22</v>
      </c>
      <c r="E10" s="14"/>
      <c r="F10" s="14"/>
      <c r="G10" s="14"/>
      <c r="H10" s="14"/>
      <c r="I10" s="14"/>
    </row>
    <row r="11" spans="1:9" ht="23" customHeight="1">
      <c r="A11" s="22" t="s">
        <v>23</v>
      </c>
      <c r="B11" s="54">
        <f>COUNTIFS('발주 상세'!$K$7:$K$30,"선택")</f>
        <v>15</v>
      </c>
      <c r="C11" s="22" t="s">
        <v>24</v>
      </c>
      <c r="D11" s="7" t="s">
        <v>25</v>
      </c>
      <c r="E11" s="14"/>
      <c r="F11" s="14"/>
      <c r="G11" s="14"/>
      <c r="H11" s="14"/>
      <c r="I11" s="14"/>
    </row>
    <row r="12" spans="1:9">
      <c r="A12" s="14"/>
      <c r="B12" s="14"/>
      <c r="C12" s="14"/>
      <c r="D12" s="14"/>
      <c r="E12" s="14"/>
      <c r="F12" s="14"/>
      <c r="G12" s="14"/>
      <c r="H12" s="14"/>
      <c r="I12" s="14"/>
    </row>
    <row r="13" spans="1:9">
      <c r="A13" s="46" t="s">
        <v>26</v>
      </c>
      <c r="B13" s="46"/>
      <c r="C13" s="46"/>
      <c r="D13" s="46"/>
      <c r="E13" s="46"/>
      <c r="F13" s="14"/>
      <c r="G13" s="46" t="s">
        <v>27</v>
      </c>
      <c r="H13" s="46"/>
      <c r="I13" s="46"/>
    </row>
    <row r="14" spans="1:9" ht="25" customHeight="1">
      <c r="A14" s="8" t="s">
        <v>28</v>
      </c>
      <c r="B14" s="8" t="s">
        <v>29</v>
      </c>
      <c r="C14" s="8" t="s">
        <v>30</v>
      </c>
      <c r="D14" s="8" t="s">
        <v>31</v>
      </c>
      <c r="E14" s="8" t="s">
        <v>32</v>
      </c>
      <c r="F14" s="14"/>
      <c r="G14" s="8" t="s">
        <v>33</v>
      </c>
      <c r="H14" s="8" t="s">
        <v>34</v>
      </c>
      <c r="I14" s="8" t="s">
        <v>35</v>
      </c>
    </row>
    <row r="15" spans="1:9" ht="25" customHeight="1">
      <c r="A15" s="10" t="s">
        <v>36</v>
      </c>
      <c r="B15" s="23">
        <f>'발주 상세'!$B$34</f>
        <v>16</v>
      </c>
      <c r="C15" s="23">
        <f>'발주 상세'!$C$34</f>
        <v>96</v>
      </c>
      <c r="D15" s="23">
        <f>'발주 상세'!$D$34</f>
        <v>177500</v>
      </c>
      <c r="E15" s="23">
        <f>'발주 상세'!$E$34</f>
        <v>195250</v>
      </c>
      <c r="F15" s="14"/>
      <c r="G15" s="10" t="s">
        <v>37</v>
      </c>
      <c r="H15" s="24">
        <v>128607</v>
      </c>
      <c r="I15" s="10" t="s">
        <v>38</v>
      </c>
    </row>
    <row r="16" spans="1:9" ht="25" customHeight="1">
      <c r="A16" s="10" t="s">
        <v>39</v>
      </c>
      <c r="B16" s="23">
        <f>'발주 상세'!$B$35</f>
        <v>7</v>
      </c>
      <c r="C16" s="23">
        <f>'발주 상세'!$C$35</f>
        <v>13</v>
      </c>
      <c r="D16" s="23">
        <f>'발주 상세'!$D$35</f>
        <v>115990</v>
      </c>
      <c r="E16" s="23">
        <f>'발주 상세'!$E$35</f>
        <v>115990</v>
      </c>
      <c r="F16" s="14"/>
      <c r="G16" s="10" t="s">
        <v>40</v>
      </c>
      <c r="H16" s="24">
        <v>-12617</v>
      </c>
      <c r="I16" s="10" t="s">
        <v>38</v>
      </c>
    </row>
    <row r="17" spans="1:9" ht="25" customHeight="1">
      <c r="A17" s="10" t="s">
        <v>225</v>
      </c>
      <c r="B17" s="23">
        <f>'발주 상세'!$B$36</f>
        <v>1</v>
      </c>
      <c r="C17" s="23">
        <f>'발주 상세'!$C$36</f>
        <v>7</v>
      </c>
      <c r="D17" s="23">
        <f>'발주 상세'!$D$36</f>
        <v>182093.66280000002</v>
      </c>
      <c r="E17" s="23">
        <f>'발주 상세'!$E$36</f>
        <v>182093.66280000002</v>
      </c>
      <c r="F17" s="14"/>
      <c r="G17" s="10"/>
      <c r="H17" s="24"/>
      <c r="I17" s="10"/>
    </row>
    <row r="18" spans="1:9" ht="25" customHeight="1">
      <c r="A18" s="11" t="s">
        <v>41</v>
      </c>
      <c r="B18" s="25">
        <f>SUM(B15:B17)</f>
        <v>24</v>
      </c>
      <c r="C18" s="25">
        <f>SUM(C15:C17)</f>
        <v>116</v>
      </c>
      <c r="D18" s="25">
        <f>SUM(D15:D17)</f>
        <v>475583.66280000005</v>
      </c>
      <c r="E18" s="25">
        <f>SUM(E15:E17)</f>
        <v>493333.66280000005</v>
      </c>
      <c r="F18" s="14"/>
      <c r="G18" s="10" t="s">
        <v>42</v>
      </c>
      <c r="H18" s="24">
        <f>SUM('발주 상세'!$H$23:$H$29)</f>
        <v>115990</v>
      </c>
      <c r="I18" s="10" t="s">
        <v>43</v>
      </c>
    </row>
    <row r="19" spans="1:9" ht="25" customHeight="1">
      <c r="A19" s="14"/>
      <c r="B19" s="14"/>
      <c r="C19" s="14"/>
      <c r="D19" s="14"/>
      <c r="E19" s="14"/>
      <c r="F19" s="14"/>
      <c r="G19" s="10" t="s">
        <v>44</v>
      </c>
      <c r="H19" s="24">
        <v>5597</v>
      </c>
      <c r="I19" s="10" t="s">
        <v>38</v>
      </c>
    </row>
    <row r="20" spans="1:9" ht="25" customHeight="1">
      <c r="A20" s="14"/>
      <c r="B20" s="14"/>
      <c r="C20" s="14"/>
      <c r="D20" s="14"/>
      <c r="E20" s="14"/>
      <c r="F20" s="14"/>
      <c r="G20" s="10" t="s">
        <v>45</v>
      </c>
      <c r="H20" s="24">
        <v>-1923</v>
      </c>
      <c r="I20" s="10" t="s">
        <v>38</v>
      </c>
    </row>
    <row r="21" spans="1:9" ht="25" customHeight="1">
      <c r="A21" s="46" t="s">
        <v>46</v>
      </c>
      <c r="B21" s="46"/>
      <c r="C21" s="46"/>
      <c r="D21" s="14"/>
      <c r="E21" s="14"/>
      <c r="F21" s="14"/>
      <c r="G21" s="11" t="s">
        <v>47</v>
      </c>
      <c r="H21" s="26">
        <f>SUM(H18:H20)</f>
        <v>119664</v>
      </c>
      <c r="I21" s="11" t="s">
        <v>48</v>
      </c>
    </row>
    <row r="22" spans="1:9" ht="25" customHeight="1">
      <c r="A22" s="8" t="s">
        <v>49</v>
      </c>
      <c r="B22" s="8" t="s">
        <v>29</v>
      </c>
      <c r="C22" s="8" t="s">
        <v>50</v>
      </c>
      <c r="D22" s="14"/>
      <c r="E22" s="14"/>
      <c r="F22" s="14"/>
      <c r="G22" s="14"/>
      <c r="H22" s="14"/>
      <c r="I22" s="14"/>
    </row>
    <row r="23" spans="1:9">
      <c r="A23" s="10" t="s">
        <v>51</v>
      </c>
      <c r="B23" s="53">
        <f>COUNTIFS('발주 상세'!$K$7:$K$30,A23)</f>
        <v>9</v>
      </c>
      <c r="C23" s="53">
        <f>SUMIFS('발주 상세'!$H$7:$H$30,'발주 상세'!$K$7:$K$30,A23)</f>
        <v>311393.66280000005</v>
      </c>
      <c r="D23" s="14"/>
      <c r="E23" s="14"/>
      <c r="F23" s="14"/>
      <c r="G23" s="14"/>
      <c r="H23" s="14"/>
      <c r="I23" s="14"/>
    </row>
    <row r="24" spans="1:9">
      <c r="A24" s="10" t="s">
        <v>52</v>
      </c>
      <c r="B24" s="53">
        <f>COUNTIFS('발주 상세'!$K$7:$K$30,A24)</f>
        <v>15</v>
      </c>
      <c r="C24" s="53">
        <f>SUMIFS('발주 상세'!$H$7:$H$30,'발주 상세'!$K$7:$K$30,A24)</f>
        <v>164190</v>
      </c>
      <c r="D24" s="14"/>
      <c r="E24" s="14"/>
      <c r="F24" s="14"/>
      <c r="G24" s="14"/>
      <c r="H24" s="14"/>
      <c r="I24" s="14"/>
    </row>
    <row r="25" spans="1:9">
      <c r="A25" s="11" t="s">
        <v>41</v>
      </c>
      <c r="B25" s="25">
        <f>SUM(B23:B24)</f>
        <v>24</v>
      </c>
      <c r="C25" s="25">
        <f>SUM(C23:C24)</f>
        <v>475583.66280000005</v>
      </c>
      <c r="D25" s="14"/>
      <c r="E25" s="14"/>
      <c r="F25" s="14"/>
      <c r="G25" s="14"/>
      <c r="H25" s="14"/>
      <c r="I25" s="14"/>
    </row>
    <row r="26" spans="1:9">
      <c r="A26" s="14"/>
      <c r="B26" s="14"/>
      <c r="C26" s="14"/>
      <c r="D26" s="14"/>
      <c r="E26" s="14"/>
      <c r="F26" s="14"/>
      <c r="G26" s="14"/>
      <c r="H26" s="14"/>
      <c r="I26" s="14"/>
    </row>
    <row r="27" spans="1:9">
      <c r="A27" s="14"/>
      <c r="B27" s="14"/>
      <c r="C27" s="14"/>
      <c r="D27" s="14"/>
      <c r="E27" s="14"/>
      <c r="F27" s="14"/>
      <c r="G27" s="14"/>
      <c r="H27" s="14"/>
      <c r="I27" s="14"/>
    </row>
    <row r="28" spans="1:9">
      <c r="A28" s="46" t="s">
        <v>53</v>
      </c>
      <c r="B28" s="46"/>
      <c r="C28" s="46"/>
      <c r="D28" s="46"/>
      <c r="E28" s="46"/>
      <c r="F28" s="46"/>
      <c r="G28" s="46"/>
      <c r="H28" s="46"/>
      <c r="I28" s="46"/>
    </row>
    <row r="29" spans="1:9" ht="23" customHeight="1">
      <c r="A29" s="47" t="s">
        <v>54</v>
      </c>
      <c r="B29" s="47"/>
      <c r="C29" s="47"/>
      <c r="D29" s="47"/>
      <c r="E29" s="47"/>
      <c r="F29" s="47"/>
      <c r="G29" s="47"/>
      <c r="H29" s="47"/>
      <c r="I29" s="47"/>
    </row>
    <row r="30" spans="1:9" ht="23" customHeight="1">
      <c r="A30" s="47" t="s">
        <v>55</v>
      </c>
      <c r="B30" s="47"/>
      <c r="C30" s="47"/>
      <c r="D30" s="47"/>
      <c r="E30" s="47"/>
      <c r="F30" s="47"/>
      <c r="G30" s="47"/>
      <c r="H30" s="47"/>
      <c r="I30" s="47"/>
    </row>
    <row r="31" spans="1:9" ht="23" customHeight="1">
      <c r="A31" s="47" t="s">
        <v>56</v>
      </c>
      <c r="B31" s="47"/>
      <c r="C31" s="47"/>
      <c r="D31" s="47"/>
      <c r="E31" s="47"/>
      <c r="F31" s="47"/>
      <c r="G31" s="47"/>
      <c r="H31" s="47"/>
      <c r="I31" s="47"/>
    </row>
    <row r="32" spans="1:9" ht="23" customHeight="1">
      <c r="A32" s="47" t="s">
        <v>57</v>
      </c>
      <c r="B32" s="47"/>
      <c r="C32" s="47"/>
      <c r="D32" s="47"/>
      <c r="E32" s="47"/>
      <c r="F32" s="47"/>
      <c r="G32" s="47"/>
      <c r="H32" s="47"/>
      <c r="I32" s="47"/>
    </row>
  </sheetData>
  <mergeCells count="9">
    <mergeCell ref="A29:I29"/>
    <mergeCell ref="A30:I30"/>
    <mergeCell ref="A31:I31"/>
    <mergeCell ref="A32:I32"/>
    <mergeCell ref="A1:I1"/>
    <mergeCell ref="A13:E13"/>
    <mergeCell ref="G13:I13"/>
    <mergeCell ref="A21:C21"/>
    <mergeCell ref="A28:I28"/>
  </mergeCells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M37"/>
  <sheetViews>
    <sheetView showGridLines="0" workbookViewId="0">
      <pane xSplit="3" ySplit="6" topLeftCell="D12" activePane="bottomRight" state="frozen"/>
      <selection pane="topRight"/>
      <selection pane="bottomLeft"/>
      <selection pane="bottomRight" activeCell="J10" sqref="J10"/>
    </sheetView>
  </sheetViews>
  <sheetFormatPr defaultRowHeight="14"/>
  <cols>
    <col min="1" max="1" width="15" customWidth="1"/>
    <col min="2" max="2" width="10" customWidth="1"/>
    <col min="3" max="3" width="34" customWidth="1"/>
    <col min="4" max="5" width="10" customWidth="1"/>
    <col min="6" max="6" width="26" customWidth="1"/>
    <col min="7" max="10" width="14" customWidth="1"/>
    <col min="11" max="11" width="12" customWidth="1"/>
    <col min="12" max="12" width="28" customWidth="1"/>
    <col min="13" max="13" width="37" customWidth="1"/>
  </cols>
  <sheetData>
    <row r="1" spans="1:13" ht="26" customHeight="1">
      <c r="A1" s="2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4" customHeight="1">
      <c r="A2" s="48" t="s">
        <v>59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>
      <c r="A4" s="35" t="s">
        <v>51</v>
      </c>
      <c r="B4" s="35" t="s">
        <v>60</v>
      </c>
      <c r="C4" s="34"/>
      <c r="D4" s="34"/>
      <c r="E4" s="34"/>
      <c r="F4" s="34"/>
      <c r="G4" s="34"/>
      <c r="H4" s="34"/>
      <c r="I4" s="34"/>
      <c r="J4" s="34"/>
      <c r="K4" s="36" t="s">
        <v>52</v>
      </c>
      <c r="L4" s="36" t="s">
        <v>61</v>
      </c>
      <c r="M4" s="34"/>
    </row>
    <row r="5" spans="1:1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ht="38" customHeight="1">
      <c r="A6" s="27" t="s">
        <v>28</v>
      </c>
      <c r="B6" s="27" t="s">
        <v>62</v>
      </c>
      <c r="C6" s="27" t="s">
        <v>63</v>
      </c>
      <c r="D6" s="27" t="s">
        <v>30</v>
      </c>
      <c r="E6" s="27" t="s">
        <v>64</v>
      </c>
      <c r="F6" s="27" t="s">
        <v>65</v>
      </c>
      <c r="G6" s="27" t="s">
        <v>66</v>
      </c>
      <c r="H6" s="27" t="s">
        <v>34</v>
      </c>
      <c r="I6" s="27" t="s">
        <v>67</v>
      </c>
      <c r="J6" s="27" t="s">
        <v>68</v>
      </c>
      <c r="K6" s="27" t="s">
        <v>69</v>
      </c>
      <c r="L6" s="27" t="s">
        <v>70</v>
      </c>
      <c r="M6" s="27" t="s">
        <v>71</v>
      </c>
    </row>
    <row r="7" spans="1:13" ht="44" customHeight="1">
      <c r="A7" s="28" t="s">
        <v>36</v>
      </c>
      <c r="B7" s="28" t="s">
        <v>72</v>
      </c>
      <c r="C7" s="28" t="s">
        <v>73</v>
      </c>
      <c r="D7" s="29">
        <v>10</v>
      </c>
      <c r="E7" s="28" t="s">
        <v>74</v>
      </c>
      <c r="F7" s="28" t="s">
        <v>75</v>
      </c>
      <c r="G7" s="29">
        <v>40</v>
      </c>
      <c r="H7" s="29">
        <f t="shared" ref="H7:H29" si="0">D7*G7</f>
        <v>400</v>
      </c>
      <c r="I7" s="30">
        <v>0.1</v>
      </c>
      <c r="J7" s="29">
        <f t="shared" ref="J7:J29" si="1">H7*(1+I7)</f>
        <v>440.00000000000006</v>
      </c>
      <c r="K7" s="28" t="s">
        <v>51</v>
      </c>
      <c r="L7" s="28" t="s">
        <v>76</v>
      </c>
      <c r="M7" s="28" t="s">
        <v>77</v>
      </c>
    </row>
    <row r="8" spans="1:13" ht="44" customHeight="1">
      <c r="A8" s="28" t="s">
        <v>36</v>
      </c>
      <c r="B8" s="28" t="s">
        <v>78</v>
      </c>
      <c r="C8" s="28" t="s">
        <v>79</v>
      </c>
      <c r="D8" s="29">
        <v>4</v>
      </c>
      <c r="E8" s="28" t="s">
        <v>74</v>
      </c>
      <c r="F8" s="28" t="s">
        <v>80</v>
      </c>
      <c r="G8" s="29">
        <v>7200</v>
      </c>
      <c r="H8" s="29">
        <f t="shared" si="0"/>
        <v>28800</v>
      </c>
      <c r="I8" s="30">
        <v>0.1</v>
      </c>
      <c r="J8" s="29">
        <f t="shared" si="1"/>
        <v>31680.000000000004</v>
      </c>
      <c r="K8" s="28" t="s">
        <v>52</v>
      </c>
      <c r="L8" s="28" t="s">
        <v>81</v>
      </c>
      <c r="M8" s="28" t="s">
        <v>82</v>
      </c>
    </row>
    <row r="9" spans="1:13" ht="44" customHeight="1">
      <c r="A9" s="28" t="s">
        <v>36</v>
      </c>
      <c r="B9" s="28" t="s">
        <v>83</v>
      </c>
      <c r="C9" s="28" t="s">
        <v>84</v>
      </c>
      <c r="D9" s="29">
        <v>2</v>
      </c>
      <c r="E9" s="28" t="s">
        <v>74</v>
      </c>
      <c r="F9" s="28" t="s">
        <v>85</v>
      </c>
      <c r="G9" s="29">
        <v>11000</v>
      </c>
      <c r="H9" s="29">
        <f t="shared" si="0"/>
        <v>22000</v>
      </c>
      <c r="I9" s="30">
        <v>0.1</v>
      </c>
      <c r="J9" s="29">
        <f t="shared" si="1"/>
        <v>24200.000000000004</v>
      </c>
      <c r="K9" s="28" t="s">
        <v>52</v>
      </c>
      <c r="L9" s="28" t="s">
        <v>86</v>
      </c>
      <c r="M9" s="28" t="s">
        <v>87</v>
      </c>
    </row>
    <row r="10" spans="1:13" ht="44" customHeight="1">
      <c r="A10" s="28" t="s">
        <v>36</v>
      </c>
      <c r="B10" s="28" t="s">
        <v>88</v>
      </c>
      <c r="C10" s="28" t="s">
        <v>89</v>
      </c>
      <c r="D10" s="29">
        <v>8</v>
      </c>
      <c r="E10" s="28" t="s">
        <v>74</v>
      </c>
      <c r="F10" s="28" t="s">
        <v>90</v>
      </c>
      <c r="G10" s="29">
        <v>900</v>
      </c>
      <c r="H10" s="29">
        <f t="shared" si="0"/>
        <v>7200</v>
      </c>
      <c r="I10" s="30">
        <v>0.1</v>
      </c>
      <c r="J10" s="29">
        <f t="shared" si="1"/>
        <v>7920.0000000000009</v>
      </c>
      <c r="K10" s="28" t="s">
        <v>52</v>
      </c>
      <c r="L10" s="28" t="s">
        <v>91</v>
      </c>
      <c r="M10" s="28" t="s">
        <v>92</v>
      </c>
    </row>
    <row r="11" spans="1:13" ht="44" customHeight="1">
      <c r="A11" s="28" t="s">
        <v>36</v>
      </c>
      <c r="B11" s="28" t="s">
        <v>93</v>
      </c>
      <c r="C11" s="28" t="s">
        <v>94</v>
      </c>
      <c r="D11" s="29">
        <v>10</v>
      </c>
      <c r="E11" s="28" t="s">
        <v>74</v>
      </c>
      <c r="F11" s="28" t="s">
        <v>95</v>
      </c>
      <c r="G11" s="29">
        <v>50</v>
      </c>
      <c r="H11" s="29">
        <f t="shared" si="0"/>
        <v>500</v>
      </c>
      <c r="I11" s="30">
        <v>0.1</v>
      </c>
      <c r="J11" s="29">
        <f t="shared" si="1"/>
        <v>550</v>
      </c>
      <c r="K11" s="28" t="s">
        <v>52</v>
      </c>
      <c r="L11" s="28" t="s">
        <v>96</v>
      </c>
      <c r="M11" s="28" t="s">
        <v>97</v>
      </c>
    </row>
    <row r="12" spans="1:13" ht="44" customHeight="1">
      <c r="A12" s="28" t="s">
        <v>36</v>
      </c>
      <c r="B12" s="28" t="s">
        <v>98</v>
      </c>
      <c r="C12" s="28" t="s">
        <v>99</v>
      </c>
      <c r="D12" s="29">
        <v>10</v>
      </c>
      <c r="E12" s="28" t="s">
        <v>74</v>
      </c>
      <c r="F12" s="28" t="s">
        <v>100</v>
      </c>
      <c r="G12" s="29">
        <v>70</v>
      </c>
      <c r="H12" s="29">
        <f t="shared" si="0"/>
        <v>700</v>
      </c>
      <c r="I12" s="30">
        <v>0.1</v>
      </c>
      <c r="J12" s="29">
        <f t="shared" si="1"/>
        <v>770.00000000000011</v>
      </c>
      <c r="K12" s="28" t="s">
        <v>52</v>
      </c>
      <c r="L12" s="28" t="s">
        <v>96</v>
      </c>
      <c r="M12" s="28" t="s">
        <v>97</v>
      </c>
    </row>
    <row r="13" spans="1:13" ht="44" customHeight="1">
      <c r="A13" s="28" t="s">
        <v>36</v>
      </c>
      <c r="B13" s="28" t="s">
        <v>101</v>
      </c>
      <c r="C13" s="28" t="s">
        <v>102</v>
      </c>
      <c r="D13" s="29">
        <v>10</v>
      </c>
      <c r="E13" s="28" t="s">
        <v>74</v>
      </c>
      <c r="F13" s="28" t="s">
        <v>103</v>
      </c>
      <c r="G13" s="29">
        <v>70</v>
      </c>
      <c r="H13" s="29">
        <f t="shared" si="0"/>
        <v>700</v>
      </c>
      <c r="I13" s="30">
        <v>0.1</v>
      </c>
      <c r="J13" s="29">
        <f t="shared" si="1"/>
        <v>770.00000000000011</v>
      </c>
      <c r="K13" s="28" t="s">
        <v>52</v>
      </c>
      <c r="L13" s="28" t="s">
        <v>96</v>
      </c>
      <c r="M13" s="28" t="s">
        <v>97</v>
      </c>
    </row>
    <row r="14" spans="1:13" ht="44" customHeight="1">
      <c r="A14" s="28" t="s">
        <v>36</v>
      </c>
      <c r="B14" s="28" t="s">
        <v>104</v>
      </c>
      <c r="C14" s="28" t="s">
        <v>105</v>
      </c>
      <c r="D14" s="29">
        <v>10</v>
      </c>
      <c r="E14" s="28" t="s">
        <v>74</v>
      </c>
      <c r="F14" s="28" t="s">
        <v>106</v>
      </c>
      <c r="G14" s="29">
        <v>30</v>
      </c>
      <c r="H14" s="29">
        <f t="shared" si="0"/>
        <v>300</v>
      </c>
      <c r="I14" s="30">
        <v>0.1</v>
      </c>
      <c r="J14" s="29">
        <f t="shared" si="1"/>
        <v>330</v>
      </c>
      <c r="K14" s="28" t="s">
        <v>52</v>
      </c>
      <c r="L14" s="28" t="s">
        <v>107</v>
      </c>
      <c r="M14" s="28" t="s">
        <v>108</v>
      </c>
    </row>
    <row r="15" spans="1:13" ht="44" customHeight="1">
      <c r="A15" s="28" t="s">
        <v>36</v>
      </c>
      <c r="B15" s="28" t="s">
        <v>109</v>
      </c>
      <c r="C15" s="28" t="s">
        <v>110</v>
      </c>
      <c r="D15" s="29">
        <v>4</v>
      </c>
      <c r="E15" s="28" t="s">
        <v>74</v>
      </c>
      <c r="F15" s="28" t="s">
        <v>111</v>
      </c>
      <c r="G15" s="29">
        <v>5300</v>
      </c>
      <c r="H15" s="29">
        <f t="shared" si="0"/>
        <v>21200</v>
      </c>
      <c r="I15" s="30">
        <v>0.1</v>
      </c>
      <c r="J15" s="29">
        <f t="shared" si="1"/>
        <v>23320.000000000004</v>
      </c>
      <c r="K15" s="28" t="s">
        <v>52</v>
      </c>
      <c r="L15" s="28" t="s">
        <v>112</v>
      </c>
      <c r="M15" s="28" t="s">
        <v>113</v>
      </c>
    </row>
    <row r="16" spans="1:13" ht="44" customHeight="1">
      <c r="A16" s="28" t="s">
        <v>36</v>
      </c>
      <c r="B16" s="28" t="s">
        <v>114</v>
      </c>
      <c r="C16" s="28" t="s">
        <v>115</v>
      </c>
      <c r="D16" s="29">
        <v>2</v>
      </c>
      <c r="E16" s="28" t="s">
        <v>74</v>
      </c>
      <c r="F16" s="28" t="s">
        <v>116</v>
      </c>
      <c r="G16" s="29">
        <v>13100</v>
      </c>
      <c r="H16" s="29">
        <f t="shared" si="0"/>
        <v>26200</v>
      </c>
      <c r="I16" s="30">
        <v>0.1</v>
      </c>
      <c r="J16" s="29">
        <f t="shared" si="1"/>
        <v>28820.000000000004</v>
      </c>
      <c r="K16" s="28" t="s">
        <v>52</v>
      </c>
      <c r="L16" s="28" t="s">
        <v>117</v>
      </c>
      <c r="M16" s="28" t="s">
        <v>118</v>
      </c>
    </row>
    <row r="17" spans="1:13" ht="44" customHeight="1">
      <c r="A17" s="28" t="s">
        <v>36</v>
      </c>
      <c r="B17" s="28" t="s">
        <v>119</v>
      </c>
      <c r="C17" s="28" t="s">
        <v>120</v>
      </c>
      <c r="D17" s="29">
        <v>1</v>
      </c>
      <c r="E17" s="28" t="s">
        <v>74</v>
      </c>
      <c r="F17" s="28" t="s">
        <v>121</v>
      </c>
      <c r="G17" s="29">
        <v>7300</v>
      </c>
      <c r="H17" s="29">
        <f t="shared" si="0"/>
        <v>7300</v>
      </c>
      <c r="I17" s="30">
        <v>0.1</v>
      </c>
      <c r="J17" s="29">
        <f t="shared" si="1"/>
        <v>8030.0000000000009</v>
      </c>
      <c r="K17" s="28" t="s">
        <v>52</v>
      </c>
      <c r="L17" s="28" t="s">
        <v>122</v>
      </c>
      <c r="M17" s="28" t="s">
        <v>123</v>
      </c>
    </row>
    <row r="18" spans="1:13" ht="44" customHeight="1">
      <c r="A18" s="28" t="s">
        <v>36</v>
      </c>
      <c r="B18" s="28" t="s">
        <v>124</v>
      </c>
      <c r="C18" s="28" t="s">
        <v>125</v>
      </c>
      <c r="D18" s="29">
        <v>1</v>
      </c>
      <c r="E18" s="28" t="s">
        <v>74</v>
      </c>
      <c r="F18" s="28" t="s">
        <v>126</v>
      </c>
      <c r="G18" s="29">
        <v>10000</v>
      </c>
      <c r="H18" s="29">
        <f t="shared" si="0"/>
        <v>10000</v>
      </c>
      <c r="I18" s="30">
        <v>0.1</v>
      </c>
      <c r="J18" s="29">
        <f t="shared" si="1"/>
        <v>11000</v>
      </c>
      <c r="K18" s="28" t="s">
        <v>52</v>
      </c>
      <c r="L18" s="28" t="s">
        <v>127</v>
      </c>
      <c r="M18" s="28" t="s">
        <v>128</v>
      </c>
    </row>
    <row r="19" spans="1:13" ht="44" customHeight="1">
      <c r="A19" s="28" t="s">
        <v>36</v>
      </c>
      <c r="B19" s="28" t="s">
        <v>129</v>
      </c>
      <c r="C19" s="28" t="s">
        <v>130</v>
      </c>
      <c r="D19" s="29">
        <v>12</v>
      </c>
      <c r="E19" s="28" t="s">
        <v>74</v>
      </c>
      <c r="F19" s="28" t="s">
        <v>131</v>
      </c>
      <c r="G19" s="29">
        <v>2000</v>
      </c>
      <c r="H19" s="29">
        <f t="shared" si="0"/>
        <v>24000</v>
      </c>
      <c r="I19" s="30">
        <v>0.1</v>
      </c>
      <c r="J19" s="29">
        <f t="shared" si="1"/>
        <v>26400.000000000004</v>
      </c>
      <c r="K19" s="28" t="s">
        <v>51</v>
      </c>
      <c r="L19" s="28" t="s">
        <v>132</v>
      </c>
      <c r="M19" s="28" t="s">
        <v>133</v>
      </c>
    </row>
    <row r="20" spans="1:13" ht="44" customHeight="1">
      <c r="A20" s="28" t="s">
        <v>36</v>
      </c>
      <c r="B20" s="28" t="s">
        <v>134</v>
      </c>
      <c r="C20" s="28" t="s">
        <v>135</v>
      </c>
      <c r="D20" s="29">
        <v>10</v>
      </c>
      <c r="E20" s="28" t="s">
        <v>74</v>
      </c>
      <c r="F20" s="28" t="s">
        <v>136</v>
      </c>
      <c r="G20" s="29">
        <v>1500</v>
      </c>
      <c r="H20" s="29">
        <f t="shared" si="0"/>
        <v>15000</v>
      </c>
      <c r="I20" s="30">
        <v>0.1</v>
      </c>
      <c r="J20" s="29">
        <f t="shared" si="1"/>
        <v>16500</v>
      </c>
      <c r="K20" s="28" t="s">
        <v>51</v>
      </c>
      <c r="L20" s="28" t="s">
        <v>137</v>
      </c>
      <c r="M20" s="28" t="s">
        <v>138</v>
      </c>
    </row>
    <row r="21" spans="1:13" ht="44" customHeight="1">
      <c r="A21" s="28" t="s">
        <v>36</v>
      </c>
      <c r="B21" s="28" t="s">
        <v>139</v>
      </c>
      <c r="C21" s="28" t="s">
        <v>140</v>
      </c>
      <c r="D21" s="29">
        <v>1</v>
      </c>
      <c r="E21" s="28" t="s">
        <v>141</v>
      </c>
      <c r="F21" s="28" t="s">
        <v>142</v>
      </c>
      <c r="G21" s="29">
        <v>1200</v>
      </c>
      <c r="H21" s="29">
        <f t="shared" si="0"/>
        <v>1200</v>
      </c>
      <c r="I21" s="30">
        <v>0.1</v>
      </c>
      <c r="J21" s="29">
        <f t="shared" si="1"/>
        <v>1320</v>
      </c>
      <c r="K21" s="28" t="s">
        <v>52</v>
      </c>
      <c r="L21" s="28" t="s">
        <v>143</v>
      </c>
      <c r="M21" s="28" t="s">
        <v>144</v>
      </c>
    </row>
    <row r="22" spans="1:13" ht="44" customHeight="1">
      <c r="A22" s="28" t="s">
        <v>36</v>
      </c>
      <c r="B22" s="28" t="s">
        <v>145</v>
      </c>
      <c r="C22" s="28" t="s">
        <v>146</v>
      </c>
      <c r="D22" s="29">
        <v>1</v>
      </c>
      <c r="E22" s="28" t="s">
        <v>141</v>
      </c>
      <c r="F22" s="28" t="s">
        <v>147</v>
      </c>
      <c r="G22" s="29">
        <v>12000</v>
      </c>
      <c r="H22" s="29">
        <f t="shared" si="0"/>
        <v>12000</v>
      </c>
      <c r="I22" s="30">
        <v>0.1</v>
      </c>
      <c r="J22" s="29">
        <f t="shared" si="1"/>
        <v>13200.000000000002</v>
      </c>
      <c r="K22" s="28" t="s">
        <v>52</v>
      </c>
      <c r="L22" s="28" t="s">
        <v>148</v>
      </c>
      <c r="M22" s="28" t="s">
        <v>144</v>
      </c>
    </row>
    <row r="23" spans="1:13" ht="44" customHeight="1">
      <c r="A23" s="31" t="s">
        <v>39</v>
      </c>
      <c r="B23" s="31" t="s">
        <v>149</v>
      </c>
      <c r="C23" s="31" t="s">
        <v>150</v>
      </c>
      <c r="D23" s="32">
        <v>4</v>
      </c>
      <c r="E23" s="31" t="s">
        <v>151</v>
      </c>
      <c r="F23" s="31" t="s">
        <v>152</v>
      </c>
      <c r="G23" s="32">
        <v>5300</v>
      </c>
      <c r="H23" s="32">
        <f t="shared" si="0"/>
        <v>21200</v>
      </c>
      <c r="I23" s="33">
        <v>0</v>
      </c>
      <c r="J23" s="32">
        <f t="shared" si="1"/>
        <v>21200</v>
      </c>
      <c r="K23" s="31" t="s">
        <v>51</v>
      </c>
      <c r="L23" s="31" t="s">
        <v>153</v>
      </c>
      <c r="M23" s="31" t="s">
        <v>154</v>
      </c>
    </row>
    <row r="24" spans="1:13" ht="44" customHeight="1">
      <c r="A24" s="28" t="s">
        <v>39</v>
      </c>
      <c r="B24" s="28" t="s">
        <v>155</v>
      </c>
      <c r="C24" s="28" t="s">
        <v>156</v>
      </c>
      <c r="D24" s="29">
        <v>1</v>
      </c>
      <c r="E24" s="28" t="s">
        <v>74</v>
      </c>
      <c r="F24" s="28" t="s">
        <v>157</v>
      </c>
      <c r="G24" s="29">
        <v>27950</v>
      </c>
      <c r="H24" s="29">
        <f t="shared" si="0"/>
        <v>27950</v>
      </c>
      <c r="I24" s="30">
        <v>0</v>
      </c>
      <c r="J24" s="29">
        <f t="shared" si="1"/>
        <v>27950</v>
      </c>
      <c r="K24" s="28" t="s">
        <v>51</v>
      </c>
      <c r="L24" s="28" t="s">
        <v>158</v>
      </c>
      <c r="M24" s="28" t="s">
        <v>159</v>
      </c>
    </row>
    <row r="25" spans="1:13" ht="44" customHeight="1">
      <c r="A25" s="28" t="s">
        <v>39</v>
      </c>
      <c r="B25" s="28" t="s">
        <v>160</v>
      </c>
      <c r="C25" s="28" t="s">
        <v>161</v>
      </c>
      <c r="D25" s="29">
        <v>1</v>
      </c>
      <c r="E25" s="28" t="s">
        <v>74</v>
      </c>
      <c r="F25" s="28" t="s">
        <v>162</v>
      </c>
      <c r="G25" s="29">
        <v>20250</v>
      </c>
      <c r="H25" s="29">
        <f t="shared" si="0"/>
        <v>20250</v>
      </c>
      <c r="I25" s="30">
        <v>0</v>
      </c>
      <c r="J25" s="29">
        <f t="shared" si="1"/>
        <v>20250</v>
      </c>
      <c r="K25" s="28" t="s">
        <v>52</v>
      </c>
      <c r="L25" s="28" t="s">
        <v>163</v>
      </c>
      <c r="M25" s="28" t="s">
        <v>164</v>
      </c>
    </row>
    <row r="26" spans="1:13" ht="44" customHeight="1">
      <c r="A26" s="28" t="s">
        <v>39</v>
      </c>
      <c r="B26" s="28" t="s">
        <v>165</v>
      </c>
      <c r="C26" s="28" t="s">
        <v>166</v>
      </c>
      <c r="D26" s="29">
        <v>1</v>
      </c>
      <c r="E26" s="28" t="s">
        <v>167</v>
      </c>
      <c r="F26" s="28" t="s">
        <v>168</v>
      </c>
      <c r="G26" s="29">
        <v>9660</v>
      </c>
      <c r="H26" s="29">
        <f t="shared" si="0"/>
        <v>9660</v>
      </c>
      <c r="I26" s="30">
        <v>0</v>
      </c>
      <c r="J26" s="29">
        <f t="shared" si="1"/>
        <v>9660</v>
      </c>
      <c r="K26" s="28" t="s">
        <v>51</v>
      </c>
      <c r="L26" s="28" t="s">
        <v>169</v>
      </c>
      <c r="M26" s="28" t="s">
        <v>170</v>
      </c>
    </row>
    <row r="27" spans="1:13" ht="44" customHeight="1">
      <c r="A27" s="28" t="s">
        <v>39</v>
      </c>
      <c r="B27" s="28" t="s">
        <v>171</v>
      </c>
      <c r="C27" s="28" t="s">
        <v>172</v>
      </c>
      <c r="D27" s="29">
        <v>3</v>
      </c>
      <c r="E27" s="28" t="s">
        <v>74</v>
      </c>
      <c r="F27" s="28" t="s">
        <v>173</v>
      </c>
      <c r="G27" s="29">
        <v>9430</v>
      </c>
      <c r="H27" s="29">
        <f t="shared" si="0"/>
        <v>28290</v>
      </c>
      <c r="I27" s="30">
        <v>0</v>
      </c>
      <c r="J27" s="29">
        <f t="shared" si="1"/>
        <v>28290</v>
      </c>
      <c r="K27" s="28" t="s">
        <v>51</v>
      </c>
      <c r="L27" s="28" t="s">
        <v>174</v>
      </c>
      <c r="M27" s="28" t="s">
        <v>175</v>
      </c>
    </row>
    <row r="28" spans="1:13" ht="44" customHeight="1">
      <c r="A28" s="28" t="s">
        <v>39</v>
      </c>
      <c r="B28" s="28" t="s">
        <v>176</v>
      </c>
      <c r="C28" s="28" t="s">
        <v>177</v>
      </c>
      <c r="D28" s="29">
        <v>2</v>
      </c>
      <c r="E28" s="28" t="s">
        <v>74</v>
      </c>
      <c r="F28" s="28" t="s">
        <v>178</v>
      </c>
      <c r="G28" s="29">
        <v>2920</v>
      </c>
      <c r="H28" s="29">
        <f t="shared" si="0"/>
        <v>5840</v>
      </c>
      <c r="I28" s="30">
        <v>0</v>
      </c>
      <c r="J28" s="29">
        <f t="shared" si="1"/>
        <v>5840</v>
      </c>
      <c r="K28" s="28" t="s">
        <v>52</v>
      </c>
      <c r="L28" s="28" t="s">
        <v>179</v>
      </c>
      <c r="M28" s="28" t="s">
        <v>180</v>
      </c>
    </row>
    <row r="29" spans="1:13" ht="44" customHeight="1">
      <c r="A29" s="28" t="s">
        <v>39</v>
      </c>
      <c r="B29" s="28" t="s">
        <v>181</v>
      </c>
      <c r="C29" s="28" t="s">
        <v>182</v>
      </c>
      <c r="D29" s="29">
        <v>1</v>
      </c>
      <c r="E29" s="28" t="s">
        <v>183</v>
      </c>
      <c r="F29" s="28" t="s">
        <v>184</v>
      </c>
      <c r="G29" s="29">
        <v>2800</v>
      </c>
      <c r="H29" s="29">
        <f t="shared" si="0"/>
        <v>2800</v>
      </c>
      <c r="I29" s="30">
        <v>0</v>
      </c>
      <c r="J29" s="29">
        <f t="shared" si="1"/>
        <v>2800</v>
      </c>
      <c r="K29" s="28" t="s">
        <v>51</v>
      </c>
      <c r="L29" s="28" t="s">
        <v>185</v>
      </c>
      <c r="M29" s="28" t="s">
        <v>186</v>
      </c>
    </row>
    <row r="30" spans="1:13" ht="23">
      <c r="A30" s="28" t="s">
        <v>225</v>
      </c>
      <c r="B30" s="28" t="s">
        <v>226</v>
      </c>
      <c r="C30" s="28" t="s">
        <v>227</v>
      </c>
      <c r="D30" s="29">
        <v>7</v>
      </c>
      <c r="E30" s="28" t="s">
        <v>74</v>
      </c>
      <c r="F30" s="28" t="s">
        <v>228</v>
      </c>
      <c r="G30" s="29">
        <f>18.82*기준·메모!$E$12</f>
        <v>26013.380400000002</v>
      </c>
      <c r="H30" s="29">
        <f>D30*G30</f>
        <v>182093.66280000002</v>
      </c>
      <c r="I30" s="30">
        <v>0</v>
      </c>
      <c r="J30" s="29">
        <f>H30*(1+I30)</f>
        <v>182093.66280000002</v>
      </c>
      <c r="K30" s="28" t="s">
        <v>51</v>
      </c>
      <c r="L30" s="28" t="s">
        <v>229</v>
      </c>
      <c r="M30" s="28" t="s">
        <v>230</v>
      </c>
    </row>
    <row r="31" spans="1:13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</row>
    <row r="32" spans="1:13">
      <c r="A32" s="49" t="s">
        <v>187</v>
      </c>
      <c r="B32" s="49"/>
      <c r="C32" s="49"/>
      <c r="D32" s="49"/>
      <c r="E32" s="49"/>
      <c r="F32" s="34"/>
      <c r="G32" s="34"/>
      <c r="H32" s="34"/>
      <c r="I32" s="34"/>
      <c r="J32" s="34"/>
      <c r="K32" s="34"/>
      <c r="L32" s="34"/>
      <c r="M32" s="34"/>
    </row>
    <row r="33" spans="1:13" ht="23">
      <c r="A33" s="37" t="s">
        <v>28</v>
      </c>
      <c r="B33" s="37" t="s">
        <v>29</v>
      </c>
      <c r="C33" s="37" t="s">
        <v>30</v>
      </c>
      <c r="D33" s="37" t="s">
        <v>31</v>
      </c>
      <c r="E33" s="37" t="s">
        <v>68</v>
      </c>
      <c r="F33" s="34"/>
      <c r="G33" s="34"/>
      <c r="H33" s="34"/>
      <c r="I33" s="34"/>
      <c r="J33" s="34"/>
      <c r="K33" s="34"/>
      <c r="L33" s="34"/>
      <c r="M33" s="34"/>
    </row>
    <row r="34" spans="1:13">
      <c r="A34" s="38" t="s">
        <v>36</v>
      </c>
      <c r="B34" s="52">
        <f>COUNTIFS($A$7:$A$30,A34)</f>
        <v>16</v>
      </c>
      <c r="C34" s="52">
        <f>SUMIFS($D$7:$D$30,$A$7:$A$30,A34)</f>
        <v>96</v>
      </c>
      <c r="D34" s="52">
        <f>SUMIFS($H$7:$H$30,$A$7:$A$30,A34)</f>
        <v>177500</v>
      </c>
      <c r="E34" s="52">
        <f>SUMIFS($J$7:$J$30,$A$7:$A$30,A34)</f>
        <v>195250</v>
      </c>
      <c r="F34" s="34"/>
      <c r="G34" s="34"/>
      <c r="H34" s="34"/>
      <c r="I34" s="34"/>
      <c r="J34" s="34"/>
      <c r="K34" s="34"/>
      <c r="L34" s="34"/>
      <c r="M34" s="34"/>
    </row>
    <row r="35" spans="1:13">
      <c r="A35" s="38" t="s">
        <v>39</v>
      </c>
      <c r="B35" s="52">
        <f>COUNTIFS($A$7:$A$30,A35)</f>
        <v>7</v>
      </c>
      <c r="C35" s="52">
        <f>SUMIFS($D$7:$D$30,$A$7:$A$30,A35)</f>
        <v>13</v>
      </c>
      <c r="D35" s="52">
        <f>SUMIFS($H$7:$H$30,$A$7:$A$30,A35)</f>
        <v>115990</v>
      </c>
      <c r="E35" s="52">
        <f>SUMIFS($J$7:$J$30,$A$7:$A$30,A35)</f>
        <v>115990</v>
      </c>
      <c r="F35" s="34"/>
      <c r="G35" s="34"/>
      <c r="H35" s="34"/>
      <c r="I35" s="34"/>
      <c r="J35" s="34"/>
      <c r="K35" s="34"/>
      <c r="L35" s="34"/>
      <c r="M35" s="34"/>
    </row>
    <row r="36" spans="1:13">
      <c r="A36" s="38" t="s">
        <v>225</v>
      </c>
      <c r="B36" s="52">
        <f>COUNTIFS($A$7:$A$30,A36)</f>
        <v>1</v>
      </c>
      <c r="C36" s="52">
        <f>SUMIFS($D$7:$D$30,$A$7:$A$30,A36)</f>
        <v>7</v>
      </c>
      <c r="D36" s="52">
        <f>SUMIFS($H$7:$H$30,$A$7:$A$30,A36)</f>
        <v>182093.66280000002</v>
      </c>
      <c r="E36" s="52">
        <f>SUMIFS($J$7:$J$30,$A$7:$A$30,A36)</f>
        <v>182093.66280000002</v>
      </c>
      <c r="F36" s="34"/>
      <c r="G36" s="34"/>
      <c r="H36" s="34"/>
      <c r="I36" s="34"/>
      <c r="J36" s="34"/>
      <c r="K36" s="34"/>
      <c r="L36" s="34"/>
      <c r="M36" s="34"/>
    </row>
    <row r="37" spans="1:13">
      <c r="A37" s="39" t="s">
        <v>41</v>
      </c>
      <c r="B37" s="40">
        <f>SUM(B34:B36)</f>
        <v>24</v>
      </c>
      <c r="C37" s="40">
        <f>SUM(C34:C36)</f>
        <v>116</v>
      </c>
      <c r="D37" s="40">
        <f>SUM(D34:D36)</f>
        <v>475583.66280000005</v>
      </c>
      <c r="E37" s="40">
        <f>SUM(E34:E36)</f>
        <v>493333.66280000005</v>
      </c>
      <c r="F37" s="41"/>
      <c r="G37" s="41"/>
      <c r="H37" s="41"/>
      <c r="I37" s="41"/>
      <c r="J37" s="41"/>
      <c r="K37" s="41"/>
      <c r="L37" s="41"/>
      <c r="M37" s="41"/>
    </row>
  </sheetData>
  <mergeCells count="2">
    <mergeCell ref="A2:M2"/>
    <mergeCell ref="A32:E32"/>
  </mergeCells>
  <phoneticPr fontId="17" type="noConversion"/>
  <conditionalFormatting sqref="K7:K30">
    <cfRule type="containsText" dxfId="1" priority="1" operator="containsText" text="필수"/>
    <cfRule type="containsText" dxfId="0" priority="2" operator="containsText" text="선택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F30"/>
  <sheetViews>
    <sheetView showGridLines="0" workbookViewId="0"/>
  </sheetViews>
  <sheetFormatPr defaultRowHeight="14"/>
  <cols>
    <col min="1" max="1" width="22" customWidth="1"/>
    <col min="2" max="2" width="36" customWidth="1"/>
    <col min="3" max="3" width="28" customWidth="1"/>
    <col min="4" max="4" width="24" customWidth="1"/>
    <col min="5" max="5" width="16" customWidth="1"/>
    <col min="6" max="6" width="30" customWidth="1"/>
  </cols>
  <sheetData>
    <row r="1" spans="1:6" ht="20">
      <c r="A1" s="44" t="s">
        <v>188</v>
      </c>
      <c r="B1" s="44"/>
      <c r="C1" s="44"/>
      <c r="D1" s="44"/>
      <c r="E1" s="44"/>
      <c r="F1" s="44"/>
    </row>
    <row r="2" spans="1:6">
      <c r="A2" s="50" t="s">
        <v>189</v>
      </c>
      <c r="B2" s="50"/>
      <c r="C2" s="50"/>
      <c r="D2" s="50"/>
      <c r="E2" s="50"/>
      <c r="F2" s="50"/>
    </row>
    <row r="3" spans="1:6">
      <c r="A3" s="3"/>
      <c r="B3" s="3"/>
      <c r="C3" s="3"/>
      <c r="D3" s="3"/>
      <c r="E3" s="3"/>
      <c r="F3" s="3"/>
    </row>
    <row r="4" spans="1:6" ht="25" customHeight="1">
      <c r="A4" s="4" t="s">
        <v>6</v>
      </c>
      <c r="B4" s="4" t="s">
        <v>7</v>
      </c>
      <c r="C4" s="3"/>
      <c r="D4" s="4" t="s">
        <v>190</v>
      </c>
      <c r="E4" s="4" t="s">
        <v>191</v>
      </c>
      <c r="F4" s="4" t="s">
        <v>192</v>
      </c>
    </row>
    <row r="5" spans="1:6" ht="25" customHeight="1">
      <c r="A5" s="9" t="s">
        <v>193</v>
      </c>
      <c r="B5" s="10" t="s">
        <v>10</v>
      </c>
      <c r="C5" s="3"/>
      <c r="D5" s="10" t="s">
        <v>194</v>
      </c>
      <c r="E5" s="23">
        <v>177500</v>
      </c>
      <c r="F5" s="10" t="s">
        <v>195</v>
      </c>
    </row>
    <row r="6" spans="1:6" ht="25" customHeight="1">
      <c r="A6" s="9" t="s">
        <v>196</v>
      </c>
      <c r="B6" s="10" t="s">
        <v>13</v>
      </c>
      <c r="C6" s="3"/>
      <c r="D6" s="10" t="s">
        <v>197</v>
      </c>
      <c r="E6" s="23">
        <v>17750</v>
      </c>
      <c r="F6" s="10" t="s">
        <v>198</v>
      </c>
    </row>
    <row r="7" spans="1:6" ht="25" customHeight="1">
      <c r="A7" s="9" t="s">
        <v>199</v>
      </c>
      <c r="B7" s="10" t="s">
        <v>200</v>
      </c>
      <c r="C7" s="3"/>
      <c r="D7" s="10" t="s">
        <v>201</v>
      </c>
      <c r="E7" s="23">
        <v>195250</v>
      </c>
      <c r="F7" s="10" t="s">
        <v>202</v>
      </c>
    </row>
    <row r="8" spans="1:6" ht="25" customHeight="1">
      <c r="A8" s="9" t="s">
        <v>203</v>
      </c>
      <c r="B8" s="10" t="s">
        <v>204</v>
      </c>
      <c r="C8" s="3"/>
      <c r="D8" s="10" t="s">
        <v>205</v>
      </c>
      <c r="E8" s="23">
        <v>115990</v>
      </c>
      <c r="F8" s="10" t="s">
        <v>206</v>
      </c>
    </row>
    <row r="9" spans="1:6" ht="25" customHeight="1">
      <c r="A9" s="9" t="s">
        <v>207</v>
      </c>
      <c r="B9" s="10" t="s">
        <v>19</v>
      </c>
      <c r="C9" s="3"/>
      <c r="D9" s="10" t="s">
        <v>208</v>
      </c>
      <c r="E9" s="23">
        <v>5597</v>
      </c>
      <c r="F9" s="10" t="s">
        <v>209</v>
      </c>
    </row>
    <row r="10" spans="1:6" ht="25" customHeight="1">
      <c r="A10" s="9" t="s">
        <v>210</v>
      </c>
      <c r="B10" s="10" t="s">
        <v>211</v>
      </c>
      <c r="C10" s="3"/>
      <c r="D10" s="10" t="s">
        <v>212</v>
      </c>
      <c r="E10" s="23">
        <v>119664</v>
      </c>
      <c r="F10" s="10" t="s">
        <v>209</v>
      </c>
    </row>
    <row r="11" spans="1:6" ht="25" customHeight="1">
      <c r="A11" s="3"/>
      <c r="B11" s="3"/>
      <c r="C11" s="3"/>
      <c r="D11" s="10" t="s">
        <v>231</v>
      </c>
      <c r="E11" s="23">
        <f>131.74*E12</f>
        <v>182093.66280000002</v>
      </c>
      <c r="F11" s="10" t="s">
        <v>232</v>
      </c>
    </row>
    <row r="12" spans="1:6" ht="25" customHeight="1">
      <c r="A12" s="3"/>
      <c r="B12" s="3"/>
      <c r="C12" s="3"/>
      <c r="D12" s="10" t="s">
        <v>233</v>
      </c>
      <c r="E12" s="56">
        <v>1382.22</v>
      </c>
      <c r="F12" s="10" t="s">
        <v>234</v>
      </c>
    </row>
    <row r="13" spans="1:6" ht="25" customHeight="1">
      <c r="A13" s="51" t="s">
        <v>213</v>
      </c>
      <c r="B13" s="51"/>
      <c r="C13" s="51"/>
      <c r="D13" s="3"/>
      <c r="E13" s="3"/>
      <c r="F13" s="3"/>
    </row>
    <row r="14" spans="1:6" ht="25" customHeight="1">
      <c r="A14" s="42" t="s">
        <v>51</v>
      </c>
      <c r="B14" s="42" t="s">
        <v>214</v>
      </c>
      <c r="C14" s="42" t="s">
        <v>215</v>
      </c>
      <c r="D14" s="3"/>
      <c r="E14" s="3"/>
      <c r="F14" s="3"/>
    </row>
    <row r="15" spans="1:6" ht="25" customHeight="1">
      <c r="A15" s="43" t="s">
        <v>52</v>
      </c>
      <c r="B15" s="43" t="s">
        <v>216</v>
      </c>
      <c r="C15" s="43" t="s">
        <v>217</v>
      </c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51" t="s">
        <v>218</v>
      </c>
      <c r="B18" s="51"/>
      <c r="C18" s="51"/>
      <c r="D18" s="51"/>
      <c r="E18" s="51"/>
      <c r="F18" s="51"/>
    </row>
    <row r="19" spans="1:6" ht="26" customHeight="1">
      <c r="A19" s="47" t="s">
        <v>219</v>
      </c>
      <c r="B19" s="47"/>
      <c r="C19" s="47"/>
      <c r="D19" s="47"/>
      <c r="E19" s="47"/>
      <c r="F19" s="47"/>
    </row>
    <row r="20" spans="1:6" ht="26" customHeight="1">
      <c r="A20" s="47" t="s">
        <v>220</v>
      </c>
      <c r="B20" s="47"/>
      <c r="C20" s="47"/>
      <c r="D20" s="47"/>
      <c r="E20" s="47"/>
      <c r="F20" s="47"/>
    </row>
    <row r="21" spans="1:6" ht="26" customHeight="1">
      <c r="A21" s="47" t="s">
        <v>221</v>
      </c>
      <c r="B21" s="47"/>
      <c r="C21" s="47"/>
      <c r="D21" s="47"/>
      <c r="E21" s="47"/>
      <c r="F21" s="47"/>
    </row>
    <row r="22" spans="1:6" ht="26" customHeight="1">
      <c r="A22" s="47" t="s">
        <v>222</v>
      </c>
      <c r="B22" s="47"/>
      <c r="C22" s="47"/>
      <c r="D22" s="47"/>
      <c r="E22" s="47"/>
      <c r="F22" s="47"/>
    </row>
    <row r="23" spans="1:6" ht="26" customHeight="1">
      <c r="A23" s="47" t="s">
        <v>223</v>
      </c>
      <c r="B23" s="47"/>
      <c r="C23" s="47"/>
      <c r="D23" s="47"/>
      <c r="E23" s="47"/>
      <c r="F23" s="47"/>
    </row>
    <row r="24" spans="1:6" ht="26" customHeight="1">
      <c r="A24" s="47" t="s">
        <v>224</v>
      </c>
      <c r="B24" s="47"/>
      <c r="C24" s="47"/>
      <c r="D24" s="47"/>
      <c r="E24" s="47"/>
      <c r="F24" s="47"/>
    </row>
    <row r="25" spans="1:6">
      <c r="A25" s="3"/>
      <c r="B25" s="3"/>
      <c r="C25" s="3"/>
      <c r="D25" s="3"/>
      <c r="E25" s="3"/>
      <c r="F25" s="3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</sheetData>
  <mergeCells count="9">
    <mergeCell ref="A21:F21"/>
    <mergeCell ref="A22:F22"/>
    <mergeCell ref="A23:F23"/>
    <mergeCell ref="A24:F24"/>
    <mergeCell ref="A2:F2"/>
    <mergeCell ref="A13:C13"/>
    <mergeCell ref="A18:F18"/>
    <mergeCell ref="A19:F19"/>
    <mergeCell ref="A20:F20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발주 요약</vt:lpstr>
      <vt:lpstr>발주 상세</vt:lpstr>
      <vt:lpstr>기준·메모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2026-09-18T03:31:29Z</dcterms:modified>
</cp:coreProperties>
</file>